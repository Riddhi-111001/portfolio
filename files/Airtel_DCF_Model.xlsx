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WACC Calculation" sheetId="4" state="visible" r:id="rId6"/>
    <sheet name="DCF Valuation" sheetId="5" state="visible" r:id="rId7"/>
    <sheet name="Operational 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<sst xmlns="http://schemas.openxmlformats.org/spreadsheetml/2006/main" count="255" uniqueCount="230">
  <si>
    <t xml:space="preserve">BHARTI AIRTEL - CONSOLIDATED INCOME STATEMENT</t>
  </si>
  <si>
    <t xml:space="preserve">Sources: Annual Reports FY20-FY25 | Amount in Rs Mn</t>
  </si>
  <si>
    <t xml:space="preserve">Particulars (Rs Mn)</t>
  </si>
  <si>
    <t xml:space="preserve">FY19-20</t>
  </si>
  <si>
    <t xml:space="preserve">FY20-21</t>
  </si>
  <si>
    <t xml:space="preserve">FY21-22</t>
  </si>
  <si>
    <t xml:space="preserve">FY22-23</t>
  </si>
  <si>
    <t xml:space="preserve">FY23-24</t>
  </si>
  <si>
    <t xml:space="preserve">FY24-25</t>
  </si>
  <si>
    <t xml:space="preserve">9M FY25-26</t>
  </si>
  <si>
    <t xml:space="preserve">Revenue from Operations</t>
  </si>
  <si>
    <t xml:space="preserve">Other Income</t>
  </si>
  <si>
    <t xml:space="preserve">Total Income</t>
  </si>
  <si>
    <t xml:space="preserve">EXPENSES</t>
  </si>
  <si>
    <t xml:space="preserve">Network Operating Expenses</t>
  </si>
  <si>
    <t xml:space="preserve">Access Charges</t>
  </si>
  <si>
    <t xml:space="preserve">License Fee / Spectrum Charges</t>
  </si>
  <si>
    <t xml:space="preserve">Employee Benefits</t>
  </si>
  <si>
    <t xml:space="preserve">Sales &amp; Marketing Expenses</t>
  </si>
  <si>
    <t xml:space="preserve">Other Expenses</t>
  </si>
  <si>
    <t xml:space="preserve">Total Expenses</t>
  </si>
  <si>
    <t xml:space="preserve">EBITDA</t>
  </si>
  <si>
    <t xml:space="preserve">EBITDA Margin (%)</t>
  </si>
  <si>
    <t xml:space="preserve">Depreciation &amp; Amortisation</t>
  </si>
  <si>
    <t xml:space="preserve">Finance Costs</t>
  </si>
  <si>
    <t xml:space="preserve">Share of JV/Associates (net)</t>
  </si>
  <si>
    <t xml:space="preserve">Profit Before Exceptional &amp; Tax</t>
  </si>
  <si>
    <t xml:space="preserve">Exceptional Items (net)</t>
  </si>
  <si>
    <t xml:space="preserve">Profit Before Tax</t>
  </si>
  <si>
    <t xml:space="preserve">Current Tax</t>
  </si>
  <si>
    <t xml:space="preserve">Deferred Tax</t>
  </si>
  <si>
    <t xml:space="preserve">Total Tax</t>
  </si>
  <si>
    <t xml:space="preserve">Profit / (Loss) for the Year</t>
  </si>
  <si>
    <t xml:space="preserve">  Continuing Operations</t>
  </si>
  <si>
    <t xml:space="preserve">  Discontinued Operations</t>
  </si>
  <si>
    <t xml:space="preserve">PAT - Owners of Parent</t>
  </si>
  <si>
    <t xml:space="preserve">PAT - NCI</t>
  </si>
  <si>
    <t xml:space="preserve">EPS - Basic (Rs)</t>
  </si>
  <si>
    <t xml:space="preserve">EPS - Diluted (Rs)</t>
  </si>
  <si>
    <t xml:space="preserve">BHARTI AIRTEL - CONSOLIDATED BALANCE SHEET</t>
  </si>
  <si>
    <t xml:space="preserve">FY19-20
(Mar 20)</t>
  </si>
  <si>
    <t xml:space="preserve">FY20-21
(Mar 21)</t>
  </si>
  <si>
    <t xml:space="preserve">FY21-22
(Mar 22)</t>
  </si>
  <si>
    <t xml:space="preserve">FY22-23
(Mar 23)</t>
  </si>
  <si>
    <t xml:space="preserve">FY23-24
(Mar 24)</t>
  </si>
  <si>
    <t xml:space="preserve">FY24-25
(Mar 25)</t>
  </si>
  <si>
    <t xml:space="preserve">Latest
(Dec 25)</t>
  </si>
  <si>
    <t xml:space="preserve">NON-CURRENT ASSETS</t>
  </si>
  <si>
    <t xml:space="preserve">PP&amp;E (incl CWIP)</t>
  </si>
  <si>
    <t xml:space="preserve">Right-of-Use Assets</t>
  </si>
  <si>
    <t xml:space="preserve">Goodwill</t>
  </si>
  <si>
    <t xml:space="preserve">Other Intangible Assets (incl IAUD)</t>
  </si>
  <si>
    <t xml:space="preserve">Investment in JV &amp; Associates</t>
  </si>
  <si>
    <t xml:space="preserve">Deferred Tax Assets (net)</t>
  </si>
  <si>
    <t xml:space="preserve">Other NC Financial &amp; Other Assets</t>
  </si>
  <si>
    <t xml:space="preserve">Total Non-Current Assets</t>
  </si>
  <si>
    <t xml:space="preserve">CURRENT ASSETS</t>
  </si>
  <si>
    <t xml:space="preserve">Cash &amp; Cash Equivalents</t>
  </si>
  <si>
    <t xml:space="preserve">Other Bank Balances</t>
  </si>
  <si>
    <t xml:space="preserve">Current Investments</t>
  </si>
  <si>
    <t xml:space="preserve">Trade Receivables</t>
  </si>
  <si>
    <t xml:space="preserve">Other Current Assets</t>
  </si>
  <si>
    <t xml:space="preserve">Total Current Assets</t>
  </si>
  <si>
    <t xml:space="preserve">TOTAL ASSETS</t>
  </si>
  <si>
    <t xml:space="preserve">EQUITY</t>
  </si>
  <si>
    <t xml:space="preserve">Equity - Owners of Parent</t>
  </si>
  <si>
    <t xml:space="preserve">Non-Controlling Interest</t>
  </si>
  <si>
    <t xml:space="preserve">Total Equity</t>
  </si>
  <si>
    <t xml:space="preserve">NON-CURRENT LIABILITIES</t>
  </si>
  <si>
    <t xml:space="preserve">NC Borrowings</t>
  </si>
  <si>
    <t xml:space="preserve">Lease Liabilities (NC)</t>
  </si>
  <si>
    <t xml:space="preserve">Other NC Liabilities</t>
  </si>
  <si>
    <t xml:space="preserve">Total NC Liabilities</t>
  </si>
  <si>
    <t xml:space="preserve">CURRENT LIABILITIES</t>
  </si>
  <si>
    <t xml:space="preserve">Current Borrowings</t>
  </si>
  <si>
    <t xml:space="preserve">Lease Liabilities (Current)</t>
  </si>
  <si>
    <t xml:space="preserve">Trade Payables</t>
  </si>
  <si>
    <t xml:space="preserve">Other Current Liabilities</t>
  </si>
  <si>
    <t xml:space="preserve">Total Current Liabilities</t>
  </si>
  <si>
    <t xml:space="preserve">TOTAL LIABILITIES</t>
  </si>
  <si>
    <t xml:space="preserve">TOTAL EQUITY &amp; LIABILITIES</t>
  </si>
  <si>
    <t xml:space="preserve">KEY DEBT METRICS</t>
  </si>
  <si>
    <t xml:space="preserve">Total Borrowings</t>
  </si>
  <si>
    <t xml:space="preserve">Net Debt (approx)</t>
  </si>
  <si>
    <t xml:space="preserve">Shareholders Equity</t>
  </si>
  <si>
    <t xml:space="preserve">BHARTI AIRTEL - CONSOLIDATED CASH FLOW STATEMENT</t>
  </si>
  <si>
    <t xml:space="preserve">Sources: Annual Reports FY21-FY25 + Quarterly KPI | Amount in Rs Mn</t>
  </si>
  <si>
    <t xml:space="preserve">OPERATING ACTIVITIES</t>
  </si>
  <si>
    <t xml:space="preserve">D&amp;A</t>
  </si>
  <si>
    <t xml:space="preserve">Share of JV/Associates</t>
  </si>
  <si>
    <t xml:space="preserve">Exceptional Items (add back)</t>
  </si>
  <si>
    <t xml:space="preserve">Other Adjustments</t>
  </si>
  <si>
    <t xml:space="preserve">Operating CF before WC</t>
  </si>
  <si>
    <t xml:space="preserve">Working Capital Changes</t>
  </si>
  <si>
    <t xml:space="preserve">Income Tax Paid</t>
  </si>
  <si>
    <t xml:space="preserve">Net Cash from Operating (A)</t>
  </si>
  <si>
    <t xml:space="preserve">INVESTING ACTIVITIES</t>
  </si>
  <si>
    <t xml:space="preserve">Capex (PPE + CWIP)</t>
  </si>
  <si>
    <t xml:space="preserve">Spectrum / Intangibles</t>
  </si>
  <si>
    <t xml:space="preserve">Other Investing Flows</t>
  </si>
  <si>
    <t xml:space="preserve">Net Cash from Investing (B)</t>
  </si>
  <si>
    <t xml:space="preserve">FINANCING ACTIVITIES</t>
  </si>
  <si>
    <t xml:space="preserve">Net Borrowings</t>
  </si>
  <si>
    <t xml:space="preserve">Lease Payments</t>
  </si>
  <si>
    <t xml:space="preserve">Interest Paid</t>
  </si>
  <si>
    <t xml:space="preserve">Dividends Paid</t>
  </si>
  <si>
    <t xml:space="preserve">Other Financing</t>
  </si>
  <si>
    <t xml:space="preserve">Net Cash from Financing (C)</t>
  </si>
  <si>
    <t xml:space="preserve">Net Change in Cash</t>
  </si>
  <si>
    <t xml:space="preserve">KEY CF METRICS</t>
  </si>
  <si>
    <t xml:space="preserve">Operating Cash Flow</t>
  </si>
  <si>
    <t xml:space="preserve">Total Capex</t>
  </si>
  <si>
    <t xml:space="preserve">Free Cash Flow (OCF-Capex)</t>
  </si>
  <si>
    <t xml:space="preserve">BHARTI AIRTEL - WACC CALCULATION</t>
  </si>
  <si>
    <t xml:space="preserve">Bottom-Up Unlevered Beta | Re-levered for Airtel Capital Structure</t>
  </si>
  <si>
    <t xml:space="preserve">A. COST OF EQUITY (CAPM)</t>
  </si>
  <si>
    <t xml:space="preserve">Risk-Free Rate (India 10Y G-Sec)</t>
  </si>
  <si>
    <t xml:space="preserve">Source: RBI / Trading Economics, Mar 2026</t>
  </si>
  <si>
    <t xml:space="preserve">Equity Risk Premium (India)</t>
  </si>
  <si>
    <t xml:space="preserve">Source: Damodaran India ERP</t>
  </si>
  <si>
    <t xml:space="preserve">Country Risk Premium (Africa blended)</t>
  </si>
  <si>
    <t xml:space="preserve">~28% rev from Africa</t>
  </si>
  <si>
    <t xml:space="preserve">Unlevered Beta - Telecom Wireless</t>
  </si>
  <si>
    <t xml:space="preserve">Source: Damodaran Jan 2026</t>
  </si>
  <si>
    <t xml:space="preserve">D/E Ratio (Market Value)</t>
  </si>
  <si>
    <t xml:space="preserve">Market D/E</t>
  </si>
  <si>
    <t xml:space="preserve">Tax Rate (Effective)</t>
  </si>
  <si>
    <t xml:space="preserve">Blended effective tax rate</t>
  </si>
  <si>
    <t xml:space="preserve">Re-Levered Beta</t>
  </si>
  <si>
    <t xml:space="preserve">Cost of Equity (Ke)</t>
  </si>
  <si>
    <t xml:space="preserve">B. COST OF DEBT</t>
  </si>
  <si>
    <t xml:space="preserve">Pre-Tax Cost of Debt</t>
  </si>
  <si>
    <t xml:space="preserve">Tax Rate</t>
  </si>
  <si>
    <t xml:space="preserve">After-Tax Cost of Debt</t>
  </si>
  <si>
    <t xml:space="preserve">C. CAPITAL STRUCTURE</t>
  </si>
  <si>
    <t xml:space="preserve">Market Cap (Rs Mn)</t>
  </si>
  <si>
    <t xml:space="preserve">Total Debt (Rs Mn)</t>
  </si>
  <si>
    <t xml:space="preserve">Enterprise Value</t>
  </si>
  <si>
    <t xml:space="preserve">Weight of Equity (We)</t>
  </si>
  <si>
    <t xml:space="preserve">Weight of Debt (Wd)</t>
  </si>
  <si>
    <t xml:space="preserve">D. WACC</t>
  </si>
  <si>
    <t xml:space="preserve">WACC = We x Ke + Wd x Kd(1-t)</t>
  </si>
  <si>
    <t xml:space="preserve">BHARTI AIRTEL - DCF VALUATION (10-YEAR)</t>
  </si>
  <si>
    <t xml:space="preserve">Forecast assumptions to be populated</t>
  </si>
  <si>
    <t xml:space="preserve">Base
FY25</t>
  </si>
  <si>
    <t xml:space="preserve">Y1
FY26E</t>
  </si>
  <si>
    <t xml:space="preserve">Y2
FY27E</t>
  </si>
  <si>
    <t xml:space="preserve">Y3
FY28E</t>
  </si>
  <si>
    <t xml:space="preserve">Y4
FY29E</t>
  </si>
  <si>
    <t xml:space="preserve">Y5
FY30E</t>
  </si>
  <si>
    <t xml:space="preserve">Y6
FY31E</t>
  </si>
  <si>
    <t xml:space="preserve">Y7
FY32E</t>
  </si>
  <si>
    <t xml:space="preserve">Y8
FY33E</t>
  </si>
  <si>
    <t xml:space="preserve">Y9
FY34E</t>
  </si>
  <si>
    <t xml:space="preserve">Y10
FY35E</t>
  </si>
  <si>
    <t xml:space="preserve">REVENUE</t>
  </si>
  <si>
    <t xml:space="preserve">Revenue Growth (%)</t>
  </si>
  <si>
    <t xml:space="preserve">Revenue</t>
  </si>
  <si>
    <t xml:space="preserve">EBIT</t>
  </si>
  <si>
    <t xml:space="preserve">TAX &amp; FCFF</t>
  </si>
  <si>
    <t xml:space="preserve">Tax Rate (%)</t>
  </si>
  <si>
    <t xml:space="preserve">NOPAT</t>
  </si>
  <si>
    <t xml:space="preserve">Capex</t>
  </si>
  <si>
    <t xml:space="preserve">Change in WC</t>
  </si>
  <si>
    <t xml:space="preserve">FREE CASH FLOW TO FIRM</t>
  </si>
  <si>
    <t xml:space="preserve">TERMINAL VALUE</t>
  </si>
  <si>
    <t xml:space="preserve">Terminal Growth (%)</t>
  </si>
  <si>
    <t xml:space="preserve">Terminal Value</t>
  </si>
  <si>
    <t xml:space="preserve">DISCOUNTING</t>
  </si>
  <si>
    <t xml:space="preserve">WACC</t>
  </si>
  <si>
    <t xml:space="preserve">Discount Factor</t>
  </si>
  <si>
    <t xml:space="preserve">PV of FCFF</t>
  </si>
  <si>
    <t xml:space="preserve">PV of Terminal Value</t>
  </si>
  <si>
    <t xml:space="preserve">VALUATION BRIDGE</t>
  </si>
  <si>
    <t xml:space="preserve">Sum of PV of FCFFs</t>
  </si>
  <si>
    <t xml:space="preserve">Less: Net Debt</t>
  </si>
  <si>
    <t xml:space="preserve">Less: Minority Interest</t>
  </si>
  <si>
    <t xml:space="preserve">Equity Value</t>
  </si>
  <si>
    <t xml:space="preserve">Shares Outstanding (Mn)</t>
  </si>
  <si>
    <t xml:space="preserve">Implied Share Price (Rs)</t>
  </si>
  <si>
    <t xml:space="preserve">Current Market Price (Rs)</t>
  </si>
  <si>
    <t xml:space="preserve">Upside / (Downside) %</t>
  </si>
  <si>
    <t xml:space="preserve">BHARTI AIRTEL - KEY OPERATIONAL METRICS</t>
  </si>
  <si>
    <t xml:space="preserve">Parameter</t>
  </si>
  <si>
    <t xml:space="preserve">Unit</t>
  </si>
  <si>
    <t xml:space="preserve">Q3 FY25
(Dec-25)</t>
  </si>
  <si>
    <t xml:space="preserve">Q2 FY25
(Sep-25)</t>
  </si>
  <si>
    <t xml:space="preserve">Q1 FY25
(Jun-25)</t>
  </si>
  <si>
    <t xml:space="preserve">Q4 FY24
(Mar-25)</t>
  </si>
  <si>
    <t xml:space="preserve">Q3 FY24
(Dec-24)</t>
  </si>
  <si>
    <t xml:space="preserve">INDIA</t>
  </si>
  <si>
    <t xml:space="preserve">Total Customer Base</t>
  </si>
  <si>
    <t xml:space="preserve">000s</t>
  </si>
  <si>
    <t xml:space="preserve">Mobile ARPU</t>
  </si>
  <si>
    <t xml:space="preserve">Rs</t>
  </si>
  <si>
    <t xml:space="preserve">4G/5G Data Customers</t>
  </si>
  <si>
    <t xml:space="preserve">Homes Customers</t>
  </si>
  <si>
    <t xml:space="preserve">Data Usage/Customer</t>
  </si>
  <si>
    <t xml:space="preserve">GBs</t>
  </si>
  <si>
    <t xml:space="preserve">AFRICA</t>
  </si>
  <si>
    <t xml:space="preserve">Customer Base</t>
  </si>
  <si>
    <t xml:space="preserve">ARPU</t>
  </si>
  <si>
    <t xml:space="preserve">US$</t>
  </si>
  <si>
    <t xml:space="preserve">Airtel Money Users</t>
  </si>
  <si>
    <t xml:space="preserve">EBITDA MARGINS</t>
  </si>
  <si>
    <t xml:space="preserve">India (ex-Indus)</t>
  </si>
  <si>
    <t xml:space="preserve">%</t>
  </si>
  <si>
    <t xml:space="preserve">58.7%</t>
  </si>
  <si>
    <t xml:space="preserve">58.5%</t>
  </si>
  <si>
    <t xml:space="preserve">58.1%</t>
  </si>
  <si>
    <t xml:space="preserve">57.8%</t>
  </si>
  <si>
    <t xml:space="preserve">56.2%</t>
  </si>
  <si>
    <t xml:space="preserve">Mobile India</t>
  </si>
  <si>
    <t xml:space="preserve">60.5%</t>
  </si>
  <si>
    <t xml:space="preserve">60.3%</t>
  </si>
  <si>
    <t xml:space="preserve">59.4%</t>
  </si>
  <si>
    <t xml:space="preserve">59.2%</t>
  </si>
  <si>
    <t xml:space="preserve">58.8%</t>
  </si>
  <si>
    <t xml:space="preserve">Africa</t>
  </si>
  <si>
    <t xml:space="preserve">49.8%</t>
  </si>
  <si>
    <t xml:space="preserve">49.1%</t>
  </si>
  <si>
    <t xml:space="preserve">48.1%</t>
  </si>
  <si>
    <t xml:space="preserve">47.3%</t>
  </si>
  <si>
    <t xml:space="preserve">47.0%</t>
  </si>
  <si>
    <t xml:space="preserve">Consolidated</t>
  </si>
  <si>
    <t xml:space="preserve">57.7%</t>
  </si>
  <si>
    <t xml:space="preserve">57.4%</t>
  </si>
  <si>
    <t xml:space="preserve">56.9%</t>
  </si>
  <si>
    <t xml:space="preserve">57.2%</t>
  </si>
  <si>
    <t xml:space="preserve">55.0%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</si>
</sst>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"/>
    <numFmt numFmtId="168" formatCode="0.00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875390</v>
      </c>
      <c r="C5" s="5" t="n">
        <v>1006158</v>
      </c>
      <c r="D5" s="5" t="n">
        <v>1165469</v>
      </c>
      <c r="E5" s="5" t="n">
        <v>1391448</v>
      </c>
      <c r="F5" s="5" t="n">
        <v>1499824</v>
      </c>
      <c r="G5" s="5" t="n">
        <v>1729852</v>
      </c>
      <c r="H5" s="5" t="n">
        <v>1555896</v>
      </c>
    </row>
    <row r="6" customFormat="false" ht="15" hidden="false" customHeight="false" outlineLevel="0" collapsed="false">
      <c r="A6" s="4" t="s">
        <v>11</v>
      </c>
      <c r="B6" s="5" t="n">
        <v>3248</v>
      </c>
      <c r="C6" s="5" t="n">
        <v>6428</v>
      </c>
      <c r="D6" s="5" t="n">
        <v>5343</v>
      </c>
      <c r="E6" s="5" t="n">
        <v>9366</v>
      </c>
      <c r="F6" s="5" t="n">
        <v>14354</v>
      </c>
      <c r="G6" s="5" t="n">
        <v>15737</v>
      </c>
      <c r="H6" s="5" t="n">
        <v>19388</v>
      </c>
    </row>
    <row r="7" customFormat="false" ht="15" hidden="false" customHeight="false" outlineLevel="0" collapsed="false">
      <c r="A7" s="6" t="s">
        <v>12</v>
      </c>
      <c r="B7" s="7" t="n">
        <v>878638</v>
      </c>
      <c r="C7" s="7" t="n">
        <v>1012586</v>
      </c>
      <c r="D7" s="7" t="n">
        <v>1170812</v>
      </c>
      <c r="E7" s="7" t="n">
        <v>1400814</v>
      </c>
      <c r="F7" s="7" t="n">
        <v>1514178</v>
      </c>
      <c r="G7" s="7" t="n">
        <v>1745589</v>
      </c>
      <c r="H7" s="7" t="n">
        <v>1575284</v>
      </c>
    </row>
    <row r="9" customFormat="false" ht="15" hidden="false" customHeight="false" outlineLevel="0" collapsed="false">
      <c r="A9" s="6" t="s">
        <v>13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4" t="s">
        <v>14</v>
      </c>
      <c r="B10" s="5" t="n">
        <v>197685</v>
      </c>
      <c r="C10" s="5" t="n">
        <v>219819</v>
      </c>
      <c r="D10" s="5" t="n">
        <v>250205</v>
      </c>
      <c r="E10" s="5" t="n">
        <v>285433</v>
      </c>
      <c r="F10" s="5" t="n">
        <v>300188</v>
      </c>
      <c r="G10" s="5" t="n">
        <v>335043</v>
      </c>
      <c r="H10" s="5" t="n">
        <v>295420</v>
      </c>
    </row>
    <row r="11" customFormat="false" ht="15" hidden="false" customHeight="false" outlineLevel="0" collapsed="false">
      <c r="A11" s="4" t="s">
        <v>15</v>
      </c>
      <c r="B11" s="5" t="n">
        <v>107395</v>
      </c>
      <c r="C11" s="5" t="n">
        <v>103521</v>
      </c>
      <c r="D11" s="5" t="n">
        <v>67611</v>
      </c>
      <c r="E11" s="5" t="n">
        <v>76207</v>
      </c>
      <c r="F11" s="5" t="n">
        <v>75185</v>
      </c>
      <c r="G11" s="5" t="n">
        <v>71713</v>
      </c>
      <c r="H11" s="5" t="n">
        <v>40477</v>
      </c>
    </row>
    <row r="12" customFormat="false" ht="15" hidden="false" customHeight="false" outlineLevel="0" collapsed="false">
      <c r="A12" s="4" t="s">
        <v>16</v>
      </c>
      <c r="B12" s="5" t="n">
        <v>72561</v>
      </c>
      <c r="C12" s="5" t="n">
        <v>91084</v>
      </c>
      <c r="D12" s="5" t="n">
        <v>110636</v>
      </c>
      <c r="E12" s="5" t="n">
        <v>117517</v>
      </c>
      <c r="F12" s="5" t="n">
        <v>120358</v>
      </c>
      <c r="G12" s="5" t="n">
        <v>138290</v>
      </c>
      <c r="H12" s="5" t="n">
        <v>113911</v>
      </c>
    </row>
    <row r="13" customFormat="false" ht="15" hidden="false" customHeight="false" outlineLevel="0" collapsed="false">
      <c r="A13" s="4" t="s">
        <v>17</v>
      </c>
      <c r="B13" s="5" t="n">
        <v>38072</v>
      </c>
      <c r="C13" s="5" t="n">
        <v>41146</v>
      </c>
      <c r="D13" s="5" t="n">
        <v>44333</v>
      </c>
      <c r="E13" s="5" t="n">
        <v>48308</v>
      </c>
      <c r="F13" s="5" t="n">
        <v>53231</v>
      </c>
      <c r="G13" s="5" t="n">
        <v>63089</v>
      </c>
      <c r="H13" s="5" t="n">
        <v>55532</v>
      </c>
    </row>
    <row r="14" customFormat="false" ht="15" hidden="false" customHeight="false" outlineLevel="0" collapsed="false">
      <c r="A14" s="4" t="s">
        <v>18</v>
      </c>
      <c r="B14" s="5" t="n">
        <v>34325</v>
      </c>
      <c r="C14" s="5" t="n">
        <v>38009</v>
      </c>
      <c r="D14" s="5" t="n">
        <v>53035</v>
      </c>
      <c r="E14" s="5" t="n">
        <v>72454</v>
      </c>
      <c r="F14" s="5" t="n">
        <v>81326</v>
      </c>
      <c r="G14" s="5" t="n">
        <v>114601</v>
      </c>
      <c r="H14" s="5" t="n">
        <v>95752</v>
      </c>
    </row>
    <row r="15" customFormat="false" ht="15" hidden="false" customHeight="false" outlineLevel="0" collapsed="false">
      <c r="A15" s="4" t="s">
        <v>19</v>
      </c>
      <c r="B15" s="5" t="n">
        <v>59257</v>
      </c>
      <c r="C15" s="5" t="n">
        <v>58862</v>
      </c>
      <c r="D15" s="5" t="n">
        <v>64310</v>
      </c>
      <c r="E15" s="5" t="n">
        <v>78794</v>
      </c>
      <c r="F15" s="5" t="n">
        <v>86618</v>
      </c>
      <c r="G15" s="5" t="n">
        <v>75524</v>
      </c>
      <c r="H15" s="5" t="n">
        <v>72975</v>
      </c>
    </row>
    <row r="16" customFormat="false" ht="15" hidden="false" customHeight="false" outlineLevel="0" collapsed="false">
      <c r="A16" s="6" t="s">
        <v>20</v>
      </c>
      <c r="B16" s="7" t="n">
        <v>509295</v>
      </c>
      <c r="C16" s="7" t="n">
        <v>552441</v>
      </c>
      <c r="D16" s="7" t="n">
        <v>590130</v>
      </c>
      <c r="E16" s="7" t="n">
        <v>678713</v>
      </c>
      <c r="F16" s="7" t="n">
        <v>716906</v>
      </c>
      <c r="G16" s="7" t="n">
        <v>798260</v>
      </c>
      <c r="H16" s="7" t="n">
        <v>674067</v>
      </c>
    </row>
    <row r="18" customFormat="false" ht="15" hidden="false" customHeight="false" outlineLevel="0" collapsed="false">
      <c r="A18" s="6" t="s">
        <v>21</v>
      </c>
      <c r="B18" s="7" t="n">
        <v>369343</v>
      </c>
      <c r="C18" s="7" t="n">
        <v>460145</v>
      </c>
      <c r="D18" s="7" t="n">
        <v>580682</v>
      </c>
      <c r="E18" s="7" t="n">
        <v>722101</v>
      </c>
      <c r="F18" s="7" t="n">
        <v>797272</v>
      </c>
      <c r="G18" s="7" t="n">
        <v>947329</v>
      </c>
      <c r="H18" s="7" t="n">
        <v>901217</v>
      </c>
    </row>
    <row r="19" customFormat="false" ht="15" hidden="false" customHeight="false" outlineLevel="0" collapsed="false">
      <c r="A19" s="4" t="s">
        <v>22</v>
      </c>
      <c r="B19" s="9" t="n">
        <v>0.422</v>
      </c>
      <c r="C19" s="9" t="n">
        <v>0.457</v>
      </c>
      <c r="D19" s="9" t="n">
        <v>0.498</v>
      </c>
      <c r="E19" s="9" t="n">
        <v>0.519</v>
      </c>
      <c r="F19" s="9" t="n">
        <v>0.531</v>
      </c>
      <c r="G19" s="9" t="n">
        <v>0.548</v>
      </c>
      <c r="H19" s="9" t="n">
        <v>0.579</v>
      </c>
    </row>
    <row r="21" customFormat="false" ht="15" hidden="false" customHeight="false" outlineLevel="0" collapsed="false">
      <c r="A21" s="4" t="s">
        <v>23</v>
      </c>
      <c r="B21" s="5" t="n">
        <v>276896</v>
      </c>
      <c r="C21" s="5" t="n">
        <v>294044</v>
      </c>
      <c r="D21" s="5" t="n">
        <v>330907</v>
      </c>
      <c r="E21" s="5" t="n">
        <v>364318</v>
      </c>
      <c r="F21" s="5" t="n">
        <v>395376</v>
      </c>
      <c r="G21" s="5" t="n">
        <v>455703</v>
      </c>
      <c r="H21" s="5" t="n">
        <v>390673</v>
      </c>
    </row>
    <row r="22" customFormat="false" ht="15" hidden="false" customHeight="false" outlineLevel="0" collapsed="false">
      <c r="A22" s="4" t="s">
        <v>24</v>
      </c>
      <c r="B22" s="5" t="n">
        <v>139918</v>
      </c>
      <c r="C22" s="5" t="n">
        <v>150910</v>
      </c>
      <c r="D22" s="5" t="n">
        <v>166162</v>
      </c>
      <c r="E22" s="5" t="n">
        <v>192999</v>
      </c>
      <c r="F22" s="5" t="n">
        <v>226477</v>
      </c>
      <c r="G22" s="5" t="n">
        <v>217539</v>
      </c>
      <c r="H22" s="5" t="n">
        <v>159497</v>
      </c>
    </row>
    <row r="23" customFormat="false" ht="15" hidden="false" customHeight="false" outlineLevel="0" collapsed="false">
      <c r="A23" s="4" t="s">
        <v>25</v>
      </c>
      <c r="B23" s="5" t="n">
        <v>-6524</v>
      </c>
      <c r="C23" s="5" t="n">
        <v>928</v>
      </c>
      <c r="D23" s="5" t="n">
        <v>-24232</v>
      </c>
      <c r="E23" s="5" t="n">
        <v>-7521</v>
      </c>
      <c r="F23" s="5" t="n">
        <v>-27094</v>
      </c>
      <c r="G23" s="5" t="n">
        <v>-37030</v>
      </c>
      <c r="H23" s="5" t="n">
        <v>-2801</v>
      </c>
    </row>
    <row r="24" customFormat="false" ht="15" hidden="false" customHeight="false" outlineLevel="0" collapsed="false">
      <c r="A24" s="10" t="s">
        <v>26</v>
      </c>
      <c r="B24" s="11" t="n">
        <v>-26121</v>
      </c>
      <c r="C24" s="11" t="n">
        <v>14263</v>
      </c>
      <c r="D24" s="11" t="n">
        <v>107845</v>
      </c>
      <c r="E24" s="11" t="n">
        <v>172305</v>
      </c>
      <c r="F24" s="11" t="n">
        <v>202513</v>
      </c>
      <c r="G24" s="11" t="n">
        <v>311117</v>
      </c>
      <c r="H24" s="11" t="n">
        <v>353848</v>
      </c>
    </row>
    <row r="26" customFormat="false" ht="15" hidden="false" customHeight="false" outlineLevel="0" collapsed="false">
      <c r="A26" s="4" t="s">
        <v>27</v>
      </c>
      <c r="B26" s="5" t="n">
        <v>402344</v>
      </c>
      <c r="C26" s="5" t="n">
        <v>159145</v>
      </c>
      <c r="D26" s="5" t="n">
        <v>-16986</v>
      </c>
      <c r="E26" s="5" t="n">
        <v>6698</v>
      </c>
      <c r="F26" s="5" t="n">
        <v>75723</v>
      </c>
      <c r="G26" s="5" t="n">
        <v>72868</v>
      </c>
      <c r="H26" s="5" t="n">
        <v>-2568</v>
      </c>
    </row>
    <row r="27" customFormat="false" ht="15" hidden="false" customHeight="false" outlineLevel="0" collapsed="false">
      <c r="A27" s="6" t="s">
        <v>28</v>
      </c>
      <c r="B27" s="7" t="n">
        <v>-428465</v>
      </c>
      <c r="C27" s="7" t="n">
        <v>-144882</v>
      </c>
      <c r="D27" s="7" t="n">
        <v>124831</v>
      </c>
      <c r="E27" s="7" t="n">
        <v>165607</v>
      </c>
      <c r="F27" s="7" t="n">
        <v>126790</v>
      </c>
      <c r="G27" s="7" t="n">
        <v>383985</v>
      </c>
      <c r="H27" s="7" t="n">
        <v>351236</v>
      </c>
    </row>
    <row r="29" customFormat="false" ht="15" hidden="false" customHeight="false" outlineLevel="0" collapsed="false">
      <c r="A29" s="4" t="s">
        <v>29</v>
      </c>
      <c r="B29" s="5" t="n">
        <v>23738</v>
      </c>
      <c r="C29" s="5" t="n">
        <v>20584</v>
      </c>
      <c r="D29" s="5" t="n">
        <v>30331</v>
      </c>
      <c r="E29" s="5" t="n">
        <v>34831</v>
      </c>
      <c r="F29" s="5" t="n">
        <v>41498</v>
      </c>
      <c r="G29" s="5" t="n">
        <v>41121</v>
      </c>
      <c r="H29" s="5" t="n">
        <v>57181</v>
      </c>
    </row>
    <row r="30" customFormat="false" ht="15" hidden="false" customHeight="false" outlineLevel="0" collapsed="false">
      <c r="A30" s="4" t="s">
        <v>30</v>
      </c>
      <c r="B30" s="5" t="n">
        <v>-145561</v>
      </c>
      <c r="C30" s="5" t="n">
        <v>68741</v>
      </c>
      <c r="D30" s="5" t="n">
        <v>11448</v>
      </c>
      <c r="E30" s="5" t="n">
        <v>7902</v>
      </c>
      <c r="F30" s="5" t="n">
        <v>-288</v>
      </c>
      <c r="G30" s="5" t="n">
        <v>-31949</v>
      </c>
      <c r="H30" s="5" t="n">
        <v>48033</v>
      </c>
    </row>
    <row r="31" customFormat="false" ht="15" hidden="false" customHeight="false" outlineLevel="0" collapsed="false">
      <c r="A31" s="4" t="s">
        <v>31</v>
      </c>
      <c r="B31" s="5" t="n">
        <v>-121823</v>
      </c>
      <c r="C31" s="5" t="n">
        <v>89325</v>
      </c>
      <c r="D31" s="5" t="n">
        <v>41779</v>
      </c>
      <c r="E31" s="5" t="n">
        <v>42733</v>
      </c>
      <c r="F31" s="5" t="n">
        <v>41210</v>
      </c>
      <c r="G31" s="5" t="n">
        <v>9172</v>
      </c>
      <c r="H31" s="5" t="n">
        <v>105214</v>
      </c>
    </row>
    <row r="33" customFormat="false" ht="15" hidden="false" customHeight="false" outlineLevel="0" collapsed="false">
      <c r="A33" s="6" t="s">
        <v>32</v>
      </c>
      <c r="B33" s="7" t="n">
        <v>-306642</v>
      </c>
      <c r="C33" s="7" t="n">
        <v>-123640</v>
      </c>
      <c r="D33" s="7" t="n">
        <v>83052</v>
      </c>
      <c r="E33" s="7" t="n">
        <v>122874</v>
      </c>
      <c r="F33" s="7" t="n">
        <v>85580</v>
      </c>
      <c r="G33" s="7" t="n">
        <v>374813</v>
      </c>
      <c r="H33" s="7" t="n">
        <v>245754</v>
      </c>
    </row>
    <row r="34" customFormat="false" ht="15" hidden="false" customHeight="false" outlineLevel="0" collapsed="false">
      <c r="A34" s="4" t="s">
        <v>33</v>
      </c>
      <c r="B34" s="5" t="n">
        <v>-306642</v>
      </c>
      <c r="C34" s="5" t="n">
        <v>-234207</v>
      </c>
      <c r="D34" s="5" t="n">
        <v>83052</v>
      </c>
      <c r="E34" s="5" t="n">
        <v>122874</v>
      </c>
      <c r="F34" s="5" t="n">
        <v>85580</v>
      </c>
      <c r="G34" s="5" t="n">
        <v>374813</v>
      </c>
      <c r="H34" s="5" t="n">
        <v>245754</v>
      </c>
    </row>
    <row r="35" customFormat="false" ht="15" hidden="false" customHeight="false" outlineLevel="0" collapsed="false">
      <c r="A35" s="4" t="s">
        <v>34</v>
      </c>
      <c r="B35" s="12"/>
      <c r="C35" s="5" t="n">
        <v>110567</v>
      </c>
      <c r="D35" s="12"/>
      <c r="E35" s="12"/>
      <c r="F35" s="12"/>
      <c r="G35" s="12"/>
      <c r="H35" s="12"/>
    </row>
    <row r="37" customFormat="false" ht="15" hidden="false" customHeight="false" outlineLevel="0" collapsed="false">
      <c r="A37" s="4" t="s">
        <v>35</v>
      </c>
      <c r="B37" s="5" t="n">
        <v>-321832</v>
      </c>
      <c r="C37" s="5" t="n">
        <v>-141530</v>
      </c>
      <c r="D37" s="5" t="n">
        <v>56752</v>
      </c>
      <c r="E37" s="5" t="n">
        <v>109424</v>
      </c>
      <c r="F37" s="5" t="n">
        <v>74670</v>
      </c>
      <c r="G37" s="5" t="n">
        <v>335561</v>
      </c>
      <c r="H37" s="5" t="n">
        <v>193701</v>
      </c>
    </row>
    <row r="38" customFormat="false" ht="15" hidden="false" customHeight="false" outlineLevel="0" collapsed="false">
      <c r="A38" s="4" t="s">
        <v>36</v>
      </c>
      <c r="B38" s="5" t="n">
        <v>15190</v>
      </c>
      <c r="C38" s="5" t="n">
        <v>17890</v>
      </c>
      <c r="D38" s="5" t="n">
        <v>26300</v>
      </c>
      <c r="E38" s="5" t="n">
        <v>13450</v>
      </c>
      <c r="F38" s="5" t="n">
        <v>10910</v>
      </c>
      <c r="G38" s="5" t="n">
        <v>39252</v>
      </c>
      <c r="H38" s="5" t="n">
        <v>52053</v>
      </c>
    </row>
    <row r="40" customFormat="false" ht="15" hidden="false" customHeight="false" outlineLevel="0" collapsed="false">
      <c r="A40" s="4" t="s">
        <v>37</v>
      </c>
      <c r="B40" s="13" t="n">
        <v>-65.98</v>
      </c>
      <c r="C40" s="13" t="n">
        <v>-26.46</v>
      </c>
      <c r="D40" s="13" t="n">
        <v>9.84</v>
      </c>
      <c r="E40" s="13" t="n">
        <v>19</v>
      </c>
      <c r="F40" s="13" t="n">
        <v>13.09</v>
      </c>
      <c r="G40" s="13" t="n">
        <v>58</v>
      </c>
      <c r="H40" s="13" t="n">
        <v>33.4</v>
      </c>
    </row>
    <row r="41" customFormat="false" ht="15" hidden="false" customHeight="false" outlineLevel="0" collapsed="false">
      <c r="A41" s="4" t="s">
        <v>38</v>
      </c>
      <c r="B41" s="13" t="n">
        <v>-65.98</v>
      </c>
      <c r="C41" s="13" t="n">
        <v>-26.46</v>
      </c>
      <c r="D41" s="13" t="n">
        <v>9.84</v>
      </c>
      <c r="E41" s="13" t="n">
        <v>19</v>
      </c>
      <c r="F41" s="13" t="n">
        <v>12.8</v>
      </c>
      <c r="G41" s="13" t="n">
        <v>56.04</v>
      </c>
      <c r="H4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r="5" customFormat="false" ht="15" hidden="false" customHeight="false" outlineLevel="0" collapsed="false">
      <c r="A5" s="6" t="s">
        <v>47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4" t="s">
        <v>48</v>
      </c>
      <c r="B6" s="5" t="n">
        <v>917545</v>
      </c>
      <c r="C6" s="5" t="n">
        <v>901711</v>
      </c>
      <c r="D6" s="5" t="n">
        <v>948111</v>
      </c>
      <c r="E6" s="5" t="n">
        <v>1062534</v>
      </c>
      <c r="F6" s="5" t="n">
        <v>1155198</v>
      </c>
      <c r="G6" s="12"/>
      <c r="H6" s="5" t="n">
        <v>2260721</v>
      </c>
    </row>
    <row r="7" customFormat="false" ht="15" hidden="false" customHeight="false" outlineLevel="0" collapsed="false">
      <c r="A7" s="4" t="s">
        <v>49</v>
      </c>
      <c r="B7" s="5" t="n">
        <v>259049</v>
      </c>
      <c r="C7" s="5" t="n">
        <v>288117</v>
      </c>
      <c r="D7" s="5" t="n">
        <v>322286</v>
      </c>
      <c r="E7" s="5" t="n">
        <v>546466</v>
      </c>
      <c r="F7" s="5" t="n">
        <v>559367</v>
      </c>
      <c r="G7" s="12"/>
      <c r="H7" s="12"/>
    </row>
    <row r="8" customFormat="false" ht="15" hidden="false" customHeight="false" outlineLevel="0" collapsed="false">
      <c r="A8" s="4" t="s">
        <v>50</v>
      </c>
      <c r="B8" s="5" t="n">
        <v>346192</v>
      </c>
      <c r="C8" s="5" t="n">
        <v>329064</v>
      </c>
      <c r="D8" s="5" t="n">
        <v>338313</v>
      </c>
      <c r="E8" s="5" t="n">
        <v>337741</v>
      </c>
      <c r="F8" s="5" t="n">
        <v>265017</v>
      </c>
      <c r="G8" s="12"/>
      <c r="H8" s="12"/>
    </row>
    <row r="9" customFormat="false" ht="15" hidden="false" customHeight="false" outlineLevel="0" collapsed="false">
      <c r="A9" s="4" t="s">
        <v>51</v>
      </c>
      <c r="B9" s="5" t="n">
        <v>812592</v>
      </c>
      <c r="C9" s="5" t="n">
        <v>773169</v>
      </c>
      <c r="D9" s="5" t="n">
        <v>891670</v>
      </c>
      <c r="E9" s="5" t="n">
        <v>1321451</v>
      </c>
      <c r="F9" s="5" t="n">
        <v>1222490</v>
      </c>
      <c r="G9" s="12"/>
      <c r="H9" s="5" t="n">
        <v>1819310</v>
      </c>
    </row>
    <row r="10" customFormat="false" ht="15" hidden="false" customHeight="false" outlineLevel="0" collapsed="false">
      <c r="A10" s="4" t="s">
        <v>52</v>
      </c>
      <c r="B10" s="5" t="n">
        <v>96808</v>
      </c>
      <c r="C10" s="5" t="n">
        <v>234346</v>
      </c>
      <c r="D10" s="5" t="n">
        <v>284268</v>
      </c>
      <c r="E10" s="5" t="n">
        <v>281838</v>
      </c>
      <c r="F10" s="5" t="n">
        <v>312404</v>
      </c>
      <c r="G10" s="5" t="n">
        <v>36416</v>
      </c>
      <c r="H10" s="5" t="n">
        <v>38644</v>
      </c>
    </row>
    <row r="11" customFormat="false" ht="15" hidden="false" customHeight="false" outlineLevel="0" collapsed="false">
      <c r="A11" s="4" t="s">
        <v>53</v>
      </c>
      <c r="B11" s="5" t="n">
        <v>270160</v>
      </c>
      <c r="C11" s="5" t="n">
        <v>200864</v>
      </c>
      <c r="D11" s="5" t="n">
        <v>199250</v>
      </c>
      <c r="E11" s="5" t="n">
        <v>189519</v>
      </c>
      <c r="F11" s="5" t="n">
        <v>192428</v>
      </c>
      <c r="G11" s="5" t="n">
        <v>249111</v>
      </c>
      <c r="H11" s="5" t="n">
        <v>227010</v>
      </c>
    </row>
    <row r="12" customFormat="false" ht="15" hidden="false" customHeight="false" outlineLevel="0" collapsed="false">
      <c r="A12" s="4" t="s">
        <v>54</v>
      </c>
      <c r="B12" s="5" t="n">
        <v>138881</v>
      </c>
      <c r="C12" s="5" t="n">
        <v>184248</v>
      </c>
      <c r="D12" s="5" t="n">
        <v>114212</v>
      </c>
      <c r="E12" s="5" t="n">
        <v>150817</v>
      </c>
      <c r="F12" s="5" t="n">
        <v>155422</v>
      </c>
      <c r="G12" s="5" t="n">
        <v>182093</v>
      </c>
      <c r="H12" s="5" t="n">
        <v>156718</v>
      </c>
    </row>
    <row r="13" customFormat="false" ht="15" hidden="false" customHeight="false" outlineLevel="0" collapsed="false">
      <c r="A13" s="6" t="s">
        <v>55</v>
      </c>
      <c r="B13" s="7" t="n">
        <v>2841358</v>
      </c>
      <c r="C13" s="7" t="n">
        <v>2912749</v>
      </c>
      <c r="D13" s="7" t="n">
        <v>3116281</v>
      </c>
      <c r="E13" s="7" t="n">
        <v>3891319</v>
      </c>
      <c r="F13" s="7" t="n">
        <v>3862549</v>
      </c>
      <c r="G13" s="7" t="n">
        <v>4467716</v>
      </c>
      <c r="H13" s="7" t="n">
        <v>4512956</v>
      </c>
    </row>
    <row r="15" customFormat="false" ht="15" hidden="false" customHeight="false" outlineLevel="0" collapsed="false">
      <c r="A15" s="6" t="s">
        <v>56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4" t="s">
        <v>57</v>
      </c>
      <c r="B16" s="5" t="n">
        <v>135507</v>
      </c>
      <c r="C16" s="5" t="n">
        <v>80859</v>
      </c>
      <c r="D16" s="5" t="n">
        <v>60959</v>
      </c>
      <c r="E16" s="5" t="n">
        <v>71794</v>
      </c>
      <c r="F16" s="5" t="n">
        <v>69155</v>
      </c>
      <c r="G16" s="5" t="n">
        <v>61056</v>
      </c>
      <c r="H16" s="5" t="n">
        <v>61984</v>
      </c>
    </row>
    <row r="17" customFormat="false" ht="15" hidden="false" customHeight="false" outlineLevel="0" collapsed="false">
      <c r="A17" s="4" t="s">
        <v>58</v>
      </c>
      <c r="B17" s="5" t="n">
        <v>23420</v>
      </c>
      <c r="C17" s="5" t="n">
        <v>53802</v>
      </c>
      <c r="D17" s="5" t="n">
        <v>73984</v>
      </c>
      <c r="E17" s="5" t="n">
        <v>62392</v>
      </c>
      <c r="F17" s="5" t="n">
        <v>94244</v>
      </c>
      <c r="G17" s="5" t="n">
        <v>106143</v>
      </c>
      <c r="H17" s="5" t="n">
        <v>154567</v>
      </c>
    </row>
    <row r="18" customFormat="false" ht="15" hidden="false" customHeight="false" outlineLevel="0" collapsed="false">
      <c r="A18" s="4" t="s">
        <v>59</v>
      </c>
      <c r="B18" s="5" t="n">
        <v>137679</v>
      </c>
      <c r="C18" s="5" t="n">
        <v>40781</v>
      </c>
      <c r="D18" s="5" t="n">
        <v>8614</v>
      </c>
      <c r="E18" s="5" t="n">
        <v>47045</v>
      </c>
      <c r="F18" s="5" t="n">
        <v>2695</v>
      </c>
      <c r="G18" s="5" t="n">
        <v>16532</v>
      </c>
      <c r="H18" s="5" t="n">
        <v>60253</v>
      </c>
    </row>
    <row r="19" customFormat="false" ht="15" hidden="false" customHeight="false" outlineLevel="0" collapsed="false">
      <c r="A19" s="4" t="s">
        <v>60</v>
      </c>
      <c r="B19" s="5" t="n">
        <v>46058</v>
      </c>
      <c r="C19" s="5" t="n">
        <v>36377</v>
      </c>
      <c r="D19" s="5" t="n">
        <v>40562</v>
      </c>
      <c r="E19" s="5" t="n">
        <v>39815</v>
      </c>
      <c r="F19" s="5" t="n">
        <v>47277</v>
      </c>
      <c r="G19" s="5" t="n">
        <v>74557</v>
      </c>
      <c r="H19" s="5" t="n">
        <v>83655</v>
      </c>
    </row>
    <row r="20" customFormat="false" ht="15" hidden="false" customHeight="false" outlineLevel="0" collapsed="false">
      <c r="A20" s="4" t="s">
        <v>61</v>
      </c>
      <c r="B20" s="5" t="n">
        <v>423768</v>
      </c>
      <c r="C20" s="5" t="n">
        <v>335710</v>
      </c>
      <c r="D20" s="5" t="n">
        <v>335860</v>
      </c>
      <c r="E20" s="5" t="n">
        <v>353967</v>
      </c>
      <c r="F20" s="5" t="n">
        <v>369390</v>
      </c>
      <c r="G20" s="5" t="n">
        <v>417600</v>
      </c>
      <c r="H20" s="5" t="n">
        <v>420641</v>
      </c>
    </row>
    <row r="21" customFormat="false" ht="15" hidden="false" customHeight="false" outlineLevel="0" collapsed="false">
      <c r="A21" s="6" t="s">
        <v>62</v>
      </c>
      <c r="B21" s="7" t="n">
        <v>766432</v>
      </c>
      <c r="C21" s="7" t="n">
        <v>547529</v>
      </c>
      <c r="D21" s="7" t="n">
        <v>520279</v>
      </c>
      <c r="E21" s="7" t="n">
        <v>575013</v>
      </c>
      <c r="F21" s="7" t="n">
        <v>582761</v>
      </c>
      <c r="G21" s="7" t="n">
        <v>675888</v>
      </c>
      <c r="H21" s="7" t="n">
        <v>781100</v>
      </c>
    </row>
    <row r="23" customFormat="false" ht="15" hidden="false" customHeight="false" outlineLevel="0" collapsed="false">
      <c r="A23" s="6" t="s">
        <v>63</v>
      </c>
      <c r="B23" s="7" t="n">
        <v>3607790</v>
      </c>
      <c r="C23" s="7" t="n">
        <v>3460278</v>
      </c>
      <c r="D23" s="7" t="n">
        <v>3636560</v>
      </c>
      <c r="E23" s="7" t="n">
        <v>4466332</v>
      </c>
      <c r="F23" s="7" t="n">
        <v>4445310</v>
      </c>
      <c r="G23" s="7" t="n">
        <v>5143604</v>
      </c>
      <c r="H23" s="7" t="n">
        <v>5294056</v>
      </c>
    </row>
    <row r="25" customFormat="false" ht="15" hidden="false" customHeight="false" outlineLevel="0" collapsed="false">
      <c r="A25" s="6" t="s">
        <v>64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4" t="s">
        <v>65</v>
      </c>
      <c r="B26" s="5" t="n">
        <v>771448</v>
      </c>
      <c r="C26" s="5" t="n">
        <v>589527</v>
      </c>
      <c r="D26" s="5" t="n">
        <v>665543</v>
      </c>
      <c r="E26" s="5" t="n">
        <v>775629</v>
      </c>
      <c r="F26" s="5" t="n">
        <v>820188</v>
      </c>
      <c r="G26" s="5" t="n">
        <v>1136719</v>
      </c>
      <c r="H26" s="5" t="n">
        <v>1247949</v>
      </c>
    </row>
    <row r="27" customFormat="false" ht="15" hidden="false" customHeight="false" outlineLevel="0" collapsed="false">
      <c r="A27" s="4" t="s">
        <v>66</v>
      </c>
      <c r="B27" s="5" t="n">
        <v>259102</v>
      </c>
      <c r="C27" s="5" t="n">
        <v>222739</v>
      </c>
      <c r="D27" s="5" t="n">
        <v>253807</v>
      </c>
      <c r="E27" s="5" t="n">
        <v>288814</v>
      </c>
      <c r="F27" s="5" t="n">
        <v>235451</v>
      </c>
      <c r="G27" s="5" t="n">
        <v>397958</v>
      </c>
      <c r="H27" s="5" t="n">
        <v>442182</v>
      </c>
    </row>
    <row r="28" customFormat="false" ht="15" hidden="false" customHeight="false" outlineLevel="0" collapsed="false">
      <c r="A28" s="6" t="s">
        <v>67</v>
      </c>
      <c r="B28" s="7" t="n">
        <v>1030550</v>
      </c>
      <c r="C28" s="7" t="n">
        <v>812266</v>
      </c>
      <c r="D28" s="7" t="n">
        <v>919350</v>
      </c>
      <c r="E28" s="7" t="n">
        <v>1064443</v>
      </c>
      <c r="F28" s="7" t="n">
        <v>1055639</v>
      </c>
      <c r="G28" s="7" t="n">
        <v>1534677</v>
      </c>
      <c r="H28" s="7" t="n">
        <v>1690131</v>
      </c>
    </row>
    <row r="30" customFormat="false" ht="15" hidden="false" customHeight="false" outlineLevel="0" collapsed="false">
      <c r="A30" s="6" t="s">
        <v>68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4" t="s">
        <v>69</v>
      </c>
      <c r="B31" s="5" t="n">
        <v>1161850</v>
      </c>
      <c r="C31" s="5" t="n">
        <v>1105603</v>
      </c>
      <c r="D31" s="5" t="n">
        <v>1135350</v>
      </c>
      <c r="E31" s="5" t="n">
        <v>1515686</v>
      </c>
      <c r="F31" s="5" t="n">
        <v>1309626</v>
      </c>
      <c r="G31" s="5" t="n">
        <v>1048638</v>
      </c>
      <c r="H31" s="5" t="n">
        <v>1670232</v>
      </c>
    </row>
    <row r="32" customFormat="false" ht="15" hidden="false" customHeight="false" outlineLevel="0" collapsed="false">
      <c r="A32" s="4" t="s">
        <v>70</v>
      </c>
      <c r="B32" s="5" t="n">
        <v>240479</v>
      </c>
      <c r="C32" s="5" t="n">
        <v>251086</v>
      </c>
      <c r="D32" s="5" t="n">
        <v>290562</v>
      </c>
      <c r="E32" s="5" t="n">
        <v>508295</v>
      </c>
      <c r="F32" s="5" t="n">
        <v>539271</v>
      </c>
      <c r="G32" s="5" t="n">
        <v>556701</v>
      </c>
      <c r="H32" s="12"/>
    </row>
    <row r="33" customFormat="false" ht="15" hidden="false" customHeight="false" outlineLevel="0" collapsed="false">
      <c r="A33" s="4" t="s">
        <v>71</v>
      </c>
      <c r="B33" s="5" t="n">
        <v>141929</v>
      </c>
      <c r="C33" s="5" t="n">
        <v>174964</v>
      </c>
      <c r="D33" s="5" t="n">
        <v>150838</v>
      </c>
      <c r="E33" s="5" t="n">
        <v>157202</v>
      </c>
      <c r="F33" s="5" t="n">
        <v>153103</v>
      </c>
      <c r="G33" s="5" t="n">
        <v>199186</v>
      </c>
      <c r="H33" s="5" t="n">
        <v>196809</v>
      </c>
    </row>
    <row r="34" customFormat="false" ht="15" hidden="false" customHeight="false" outlineLevel="0" collapsed="false">
      <c r="A34" s="6" t="s">
        <v>72</v>
      </c>
      <c r="B34" s="7" t="n">
        <v>1544258</v>
      </c>
      <c r="C34" s="7" t="n">
        <v>1531653</v>
      </c>
      <c r="D34" s="7" t="n">
        <v>1576950</v>
      </c>
      <c r="E34" s="7" t="n">
        <v>2181183</v>
      </c>
      <c r="F34" s="7" t="n">
        <v>2002993</v>
      </c>
      <c r="G34" s="7" t="n">
        <v>1804525</v>
      </c>
      <c r="H34" s="7" t="n">
        <v>1867039</v>
      </c>
    </row>
    <row r="36" customFormat="false" ht="15" hidden="false" customHeight="false" outlineLevel="0" collapsed="false">
      <c r="A36" s="6" t="s">
        <v>73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4" t="s">
        <v>74</v>
      </c>
      <c r="B37" s="5" t="n">
        <v>361555</v>
      </c>
      <c r="C37" s="5" t="n">
        <v>193795</v>
      </c>
      <c r="D37" s="5" t="n">
        <v>214766</v>
      </c>
      <c r="E37" s="5" t="n">
        <v>248133</v>
      </c>
      <c r="F37" s="5" t="n">
        <v>209539</v>
      </c>
      <c r="G37" s="5" t="n">
        <v>434485</v>
      </c>
      <c r="H37" s="5" t="n">
        <v>308827</v>
      </c>
    </row>
    <row r="38" customFormat="false" ht="15" hidden="false" customHeight="false" outlineLevel="0" collapsed="false">
      <c r="A38" s="4" t="s">
        <v>75</v>
      </c>
      <c r="B38" s="5" t="n">
        <v>42281</v>
      </c>
      <c r="C38" s="5" t="n">
        <v>77072</v>
      </c>
      <c r="D38" s="5" t="n">
        <v>78574</v>
      </c>
      <c r="E38" s="5" t="n">
        <v>80636</v>
      </c>
      <c r="F38" s="5" t="n">
        <v>97487</v>
      </c>
      <c r="G38" s="5" t="n">
        <v>96597</v>
      </c>
      <c r="H38" s="12"/>
    </row>
    <row r="39" customFormat="false" ht="15" hidden="false" customHeight="false" outlineLevel="0" collapsed="false">
      <c r="A39" s="4" t="s">
        <v>76</v>
      </c>
      <c r="B39" s="5" t="n">
        <v>177949</v>
      </c>
      <c r="C39" s="5" t="n">
        <v>192704</v>
      </c>
      <c r="D39" s="5" t="n">
        <v>200367</v>
      </c>
      <c r="E39" s="5" t="n">
        <v>282155</v>
      </c>
      <c r="F39" s="5" t="n">
        <v>351325</v>
      </c>
      <c r="G39" s="5" t="n">
        <v>381537</v>
      </c>
      <c r="H39" s="5" t="n">
        <v>465069</v>
      </c>
    </row>
    <row r="40" customFormat="false" ht="15" hidden="false" customHeight="false" outlineLevel="0" collapsed="false">
      <c r="A40" s="4" t="s">
        <v>77</v>
      </c>
      <c r="B40" s="5" t="n">
        <v>451197</v>
      </c>
      <c r="C40" s="5" t="n">
        <v>652788</v>
      </c>
      <c r="D40" s="5" t="n">
        <v>646553</v>
      </c>
      <c r="E40" s="5" t="n">
        <v>609782</v>
      </c>
      <c r="F40" s="5" t="n">
        <v>728327</v>
      </c>
      <c r="G40" s="5" t="n">
        <v>891283</v>
      </c>
      <c r="H40" s="5" t="n">
        <v>962990</v>
      </c>
    </row>
    <row r="41" customFormat="false" ht="15" hidden="false" customHeight="false" outlineLevel="0" collapsed="false">
      <c r="A41" s="6" t="s">
        <v>78</v>
      </c>
      <c r="B41" s="7" t="n">
        <v>1032982</v>
      </c>
      <c r="C41" s="7" t="n">
        <v>1116359</v>
      </c>
      <c r="D41" s="7" t="n">
        <v>1140260</v>
      </c>
      <c r="E41" s="7" t="n">
        <v>1220706</v>
      </c>
      <c r="F41" s="7" t="n">
        <v>1386678</v>
      </c>
      <c r="G41" s="7" t="n">
        <v>1804402</v>
      </c>
      <c r="H41" s="7" t="n">
        <v>1736886</v>
      </c>
    </row>
    <row r="43" customFormat="false" ht="15" hidden="false" customHeight="false" outlineLevel="0" collapsed="false">
      <c r="A43" s="6" t="s">
        <v>79</v>
      </c>
      <c r="B43" s="7" t="n">
        <v>2577240</v>
      </c>
      <c r="C43" s="7" t="n">
        <v>2648012</v>
      </c>
      <c r="D43" s="7" t="n">
        <v>2717210</v>
      </c>
      <c r="E43" s="7" t="n">
        <v>3401889</v>
      </c>
      <c r="F43" s="7" t="n">
        <v>3389671</v>
      </c>
      <c r="G43" s="7" t="n">
        <v>3608927</v>
      </c>
      <c r="H43" s="7" t="n">
        <v>3603925</v>
      </c>
    </row>
    <row r="44" customFormat="false" ht="15" hidden="false" customHeight="false" outlineLevel="0" collapsed="false">
      <c r="A44" s="6" t="s">
        <v>80</v>
      </c>
      <c r="B44" s="7" t="n">
        <v>3607790</v>
      </c>
      <c r="C44" s="7" t="n">
        <v>3460278</v>
      </c>
      <c r="D44" s="7" t="n">
        <v>3636560</v>
      </c>
      <c r="E44" s="7" t="n">
        <v>4466332</v>
      </c>
      <c r="F44" s="7" t="n">
        <v>4445310</v>
      </c>
      <c r="G44" s="7" t="n">
        <v>5143604</v>
      </c>
      <c r="H44" s="7" t="n">
        <v>5294056</v>
      </c>
    </row>
    <row r="46" customFormat="false" ht="15" hidden="false" customHeight="false" outlineLevel="0" collapsed="false">
      <c r="A46" s="6" t="s">
        <v>81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4" t="s">
        <v>82</v>
      </c>
      <c r="B47" s="5" t="n">
        <v>1523405</v>
      </c>
      <c r="C47" s="5" t="n">
        <v>1299398</v>
      </c>
      <c r="D47" s="5" t="n">
        <v>1350116</v>
      </c>
      <c r="E47" s="5" t="n">
        <v>1763819</v>
      </c>
      <c r="F47" s="5" t="n">
        <v>1519165</v>
      </c>
      <c r="G47" s="5" t="n">
        <v>1483123</v>
      </c>
      <c r="H47" s="5" t="n">
        <v>1979059</v>
      </c>
    </row>
    <row r="48" customFormat="false" ht="15" hidden="false" customHeight="false" outlineLevel="0" collapsed="false">
      <c r="A48" s="4" t="s">
        <v>83</v>
      </c>
      <c r="B48" s="5" t="n">
        <v>1226799</v>
      </c>
      <c r="C48" s="5" t="n">
        <v>1124356</v>
      </c>
      <c r="D48" s="5" t="n">
        <v>1207159</v>
      </c>
      <c r="E48" s="5" t="n">
        <v>1583588</v>
      </c>
      <c r="F48" s="5" t="n">
        <v>1352871</v>
      </c>
      <c r="G48" s="5" t="n">
        <v>1299392</v>
      </c>
      <c r="H48" s="5" t="n">
        <v>1702255</v>
      </c>
    </row>
    <row r="49" customFormat="false" ht="15" hidden="false" customHeight="false" outlineLevel="0" collapsed="false">
      <c r="A49" s="4" t="s">
        <v>84</v>
      </c>
      <c r="B49" s="5" t="n">
        <v>771448</v>
      </c>
      <c r="C49" s="5" t="n">
        <v>589527</v>
      </c>
      <c r="D49" s="5" t="n">
        <v>665543</v>
      </c>
      <c r="E49" s="5" t="n">
        <v>775629</v>
      </c>
      <c r="F49" s="5" t="n">
        <v>820188</v>
      </c>
      <c r="G49" s="5" t="n">
        <v>1136719</v>
      </c>
      <c r="H49" s="5" t="n">
        <v>1247949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customFormat="false" ht="15" hidden="false" customHeight="false" outlineLevel="0" collapsed="false">
      <c r="A5" s="6" t="s">
        <v>87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4" t="s">
        <v>28</v>
      </c>
      <c r="B6" s="5" t="n">
        <v>-144882</v>
      </c>
      <c r="C6" s="5" t="n">
        <v>124831</v>
      </c>
      <c r="D6" s="5" t="n">
        <v>165607</v>
      </c>
      <c r="E6" s="5" t="n">
        <v>126790</v>
      </c>
      <c r="F6" s="5" t="n">
        <v>383985</v>
      </c>
      <c r="G6" s="5" t="n">
        <v>351236</v>
      </c>
    </row>
    <row r="7" customFormat="false" ht="15" hidden="false" customHeight="false" outlineLevel="0" collapsed="false">
      <c r="A7" s="4" t="s">
        <v>88</v>
      </c>
      <c r="B7" s="5" t="n">
        <v>294044</v>
      </c>
      <c r="C7" s="5" t="n">
        <v>330907</v>
      </c>
      <c r="D7" s="5" t="n">
        <v>364318</v>
      </c>
      <c r="E7" s="5" t="n">
        <v>395376</v>
      </c>
      <c r="F7" s="5" t="n">
        <v>455703</v>
      </c>
      <c r="G7" s="5" t="n">
        <v>390673</v>
      </c>
    </row>
    <row r="8" customFormat="false" ht="15" hidden="false" customHeight="false" outlineLevel="0" collapsed="false">
      <c r="A8" s="4" t="s">
        <v>24</v>
      </c>
      <c r="B8" s="5" t="n">
        <v>150910</v>
      </c>
      <c r="C8" s="5" t="n">
        <v>166162</v>
      </c>
      <c r="D8" s="5" t="n">
        <v>192999</v>
      </c>
      <c r="E8" s="5" t="n">
        <v>226477</v>
      </c>
      <c r="F8" s="5" t="n">
        <v>216258</v>
      </c>
      <c r="G8" s="5" t="n">
        <v>153219</v>
      </c>
    </row>
    <row r="9" customFormat="false" ht="15" hidden="false" customHeight="false" outlineLevel="0" collapsed="false">
      <c r="A9" s="4" t="s">
        <v>89</v>
      </c>
      <c r="B9" s="5" t="n">
        <v>928</v>
      </c>
      <c r="C9" s="5" t="n">
        <v>-24232</v>
      </c>
      <c r="D9" s="5" t="n">
        <v>-7521</v>
      </c>
      <c r="E9" s="5" t="n">
        <v>-27094</v>
      </c>
      <c r="F9" s="5" t="n">
        <v>-37030</v>
      </c>
      <c r="G9" s="5" t="n">
        <v>-2801</v>
      </c>
    </row>
    <row r="10" customFormat="false" ht="15" hidden="false" customHeight="false" outlineLevel="0" collapsed="false">
      <c r="A10" s="4" t="s">
        <v>90</v>
      </c>
      <c r="B10" s="5" t="n">
        <v>159145</v>
      </c>
      <c r="C10" s="5" t="n">
        <v>-16986</v>
      </c>
      <c r="D10" s="5" t="n">
        <v>6698</v>
      </c>
      <c r="E10" s="5" t="n">
        <v>75723</v>
      </c>
      <c r="F10" s="5" t="n">
        <v>-72868</v>
      </c>
      <c r="G10" s="5" t="n">
        <v>2568</v>
      </c>
    </row>
    <row r="11" customFormat="false" ht="15" hidden="false" customHeight="false" outlineLevel="0" collapsed="false">
      <c r="A11" s="4" t="s">
        <v>91</v>
      </c>
      <c r="B11" s="5" t="n">
        <v>14655</v>
      </c>
      <c r="C11" s="5" t="n">
        <v>519</v>
      </c>
      <c r="D11" s="5" t="n">
        <v>508</v>
      </c>
      <c r="E11" s="5" t="n">
        <v>20516</v>
      </c>
      <c r="F11" s="5" t="n">
        <v>-2579</v>
      </c>
      <c r="G11" s="5" t="n">
        <v>-2013</v>
      </c>
    </row>
    <row r="12" customFormat="false" ht="15" hidden="false" customHeight="false" outlineLevel="0" collapsed="false">
      <c r="A12" s="4" t="s">
        <v>92</v>
      </c>
      <c r="B12" s="12"/>
      <c r="C12" s="12"/>
      <c r="D12" s="12"/>
      <c r="E12" s="5" t="n">
        <v>817788</v>
      </c>
      <c r="F12" s="5" t="n">
        <v>943889</v>
      </c>
      <c r="G12" s="5" t="n">
        <v>907783</v>
      </c>
    </row>
    <row r="13" customFormat="false" ht="15" hidden="false" customHeight="false" outlineLevel="0" collapsed="false">
      <c r="A13" s="4" t="s">
        <v>93</v>
      </c>
      <c r="B13" s="12"/>
      <c r="C13" s="12"/>
      <c r="D13" s="12"/>
      <c r="E13" s="12"/>
      <c r="F13" s="5" t="n">
        <v>83920</v>
      </c>
      <c r="G13" s="5" t="n">
        <v>93081</v>
      </c>
    </row>
    <row r="14" customFormat="false" ht="15" hidden="false" customHeight="false" outlineLevel="0" collapsed="false">
      <c r="A14" s="4" t="s">
        <v>94</v>
      </c>
      <c r="B14" s="5" t="n">
        <v>-22530</v>
      </c>
      <c r="C14" s="5" t="n">
        <v>-27820</v>
      </c>
      <c r="D14" s="5" t="n">
        <v>-30470</v>
      </c>
      <c r="E14" s="5" t="n">
        <v>-28806</v>
      </c>
      <c r="F14" s="5" t="n">
        <v>-44380</v>
      </c>
      <c r="G14" s="5" t="n">
        <v>-51438</v>
      </c>
    </row>
    <row r="15" customFormat="false" ht="15" hidden="false" customHeight="false" outlineLevel="0" collapsed="false">
      <c r="A15" s="6" t="s">
        <v>95</v>
      </c>
      <c r="B15" s="7" t="n">
        <v>720866</v>
      </c>
      <c r="C15" s="7" t="n">
        <v>637267</v>
      </c>
      <c r="D15" s="7" t="n">
        <v>675100</v>
      </c>
      <c r="E15" s="7" t="n">
        <v>788982</v>
      </c>
      <c r="F15" s="7" t="n">
        <v>983322</v>
      </c>
      <c r="G15" s="7" t="n">
        <v>935952</v>
      </c>
    </row>
    <row r="17" customFormat="false" ht="15" hidden="false" customHeight="false" outlineLevel="0" collapsed="false">
      <c r="A17" s="6" t="s">
        <v>96</v>
      </c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4" t="s">
        <v>97</v>
      </c>
      <c r="B18" s="5" t="n">
        <v>-290050</v>
      </c>
      <c r="C18" s="5" t="n">
        <v>-303488</v>
      </c>
      <c r="D18" s="5" t="n">
        <v>-413283</v>
      </c>
      <c r="E18" s="5" t="n">
        <v>-381915</v>
      </c>
      <c r="F18" s="5" t="n">
        <v>-379077</v>
      </c>
      <c r="G18" s="5" t="n">
        <v>-327447</v>
      </c>
    </row>
    <row r="19" customFormat="false" ht="15" hidden="false" customHeight="false" outlineLevel="0" collapsed="false">
      <c r="A19" s="4" t="s">
        <v>98</v>
      </c>
      <c r="B19" s="5" t="n">
        <v>-29000</v>
      </c>
      <c r="C19" s="5" t="n">
        <v>-15792</v>
      </c>
      <c r="D19" s="5" t="n">
        <v>-347893</v>
      </c>
      <c r="E19" s="5" t="n">
        <v>-146575</v>
      </c>
      <c r="F19" s="5" t="n">
        <v>-231209</v>
      </c>
      <c r="G19" s="5" t="n">
        <v>-12169</v>
      </c>
    </row>
    <row r="20" customFormat="false" ht="15" hidden="false" customHeight="false" outlineLevel="0" collapsed="false">
      <c r="A20" s="4" t="s">
        <v>99</v>
      </c>
      <c r="B20" s="5" t="n">
        <v>-12330</v>
      </c>
      <c r="C20" s="5" t="n">
        <v>22930</v>
      </c>
      <c r="D20" s="5" t="n">
        <v>2520</v>
      </c>
      <c r="E20" s="5" t="n">
        <v>25451</v>
      </c>
      <c r="F20" s="5" t="n">
        <v>7588</v>
      </c>
      <c r="G20" s="5" t="n">
        <v>-20574</v>
      </c>
    </row>
    <row r="21" customFormat="false" ht="15" hidden="false" customHeight="false" outlineLevel="0" collapsed="false">
      <c r="A21" s="6" t="s">
        <v>100</v>
      </c>
      <c r="B21" s="7" t="n">
        <v>-331380</v>
      </c>
      <c r="C21" s="7" t="n">
        <v>-296350</v>
      </c>
      <c r="D21" s="7" t="n">
        <v>-758656</v>
      </c>
      <c r="E21" s="7" t="n">
        <v>-502039</v>
      </c>
      <c r="F21" s="7" t="n">
        <v>-602698</v>
      </c>
      <c r="G21" s="7" t="n">
        <v>-360389</v>
      </c>
    </row>
    <row r="23" customFormat="false" ht="15" hidden="false" customHeight="false" outlineLevel="0" collapsed="false">
      <c r="A23" s="6" t="s">
        <v>101</v>
      </c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4" t="s">
        <v>102</v>
      </c>
      <c r="B24" s="5" t="n">
        <v>22700</v>
      </c>
      <c r="C24" s="5" t="n">
        <v>-16440</v>
      </c>
      <c r="D24" s="5" t="n">
        <v>312485</v>
      </c>
      <c r="E24" s="5" t="n">
        <v>-18164</v>
      </c>
      <c r="F24" s="5" t="n">
        <v>93930</v>
      </c>
      <c r="G24" s="5" t="n">
        <v>-90727</v>
      </c>
    </row>
    <row r="25" customFormat="false" ht="15" hidden="false" customHeight="false" outlineLevel="0" collapsed="false">
      <c r="A25" s="4" t="s">
        <v>103</v>
      </c>
      <c r="B25" s="5" t="n">
        <v>-67030</v>
      </c>
      <c r="C25" s="5" t="n">
        <v>-72390</v>
      </c>
      <c r="D25" s="5" t="n">
        <v>-77820</v>
      </c>
      <c r="E25" s="5" t="n">
        <v>-78552</v>
      </c>
      <c r="F25" s="5" t="n">
        <v>-71538</v>
      </c>
      <c r="G25" s="5" t="n">
        <v>-49056</v>
      </c>
    </row>
    <row r="26" customFormat="false" ht="15" hidden="false" customHeight="false" outlineLevel="0" collapsed="false">
      <c r="A26" s="4" t="s">
        <v>104</v>
      </c>
      <c r="B26" s="5" t="n">
        <v>-118600</v>
      </c>
      <c r="C26" s="5" t="n">
        <v>-124050</v>
      </c>
      <c r="D26" s="5" t="n">
        <v>-131200</v>
      </c>
      <c r="E26" s="5" t="n">
        <v>-140263</v>
      </c>
      <c r="F26" s="5" t="n">
        <v>-175476</v>
      </c>
      <c r="G26" s="5" t="n">
        <v>-85960</v>
      </c>
    </row>
    <row r="27" customFormat="false" ht="15" hidden="false" customHeight="false" outlineLevel="0" collapsed="false">
      <c r="A27" s="4" t="s">
        <v>105</v>
      </c>
      <c r="B27" s="5" t="n">
        <v>-6160</v>
      </c>
      <c r="C27" s="5" t="n">
        <v>-16140</v>
      </c>
      <c r="D27" s="5" t="n">
        <v>-20140</v>
      </c>
      <c r="E27" s="5" t="n">
        <v>-41845</v>
      </c>
      <c r="F27" s="5" t="n">
        <v>-69349</v>
      </c>
      <c r="G27" s="5" t="n">
        <v>-110257</v>
      </c>
    </row>
    <row r="28" customFormat="false" ht="15" hidden="false" customHeight="false" outlineLevel="0" collapsed="false">
      <c r="A28" s="4" t="s">
        <v>106</v>
      </c>
      <c r="B28" s="5" t="n">
        <v>-165000</v>
      </c>
      <c r="C28" s="5" t="n">
        <v>-59250</v>
      </c>
      <c r="D28" s="5" t="n">
        <v>-21350</v>
      </c>
      <c r="E28" s="5" t="n">
        <v>1039</v>
      </c>
      <c r="F28" s="5" t="n">
        <v>-142899</v>
      </c>
      <c r="G28" s="5" t="n">
        <v>-24229</v>
      </c>
    </row>
    <row r="29" customFormat="false" ht="15" hidden="false" customHeight="false" outlineLevel="0" collapsed="false">
      <c r="A29" s="6" t="s">
        <v>107</v>
      </c>
      <c r="B29" s="7" t="n">
        <v>-334090</v>
      </c>
      <c r="C29" s="7" t="n">
        <v>-288270</v>
      </c>
      <c r="D29" s="7" t="n">
        <v>61975</v>
      </c>
      <c r="E29" s="7" t="n">
        <v>-277785</v>
      </c>
      <c r="F29" s="7" t="n">
        <v>-365332</v>
      </c>
      <c r="G29" s="7" t="n">
        <v>-360229</v>
      </c>
    </row>
    <row r="31" customFormat="false" ht="15" hidden="false" customHeight="false" outlineLevel="0" collapsed="false">
      <c r="A31" s="6" t="s">
        <v>108</v>
      </c>
      <c r="B31" s="7" t="n">
        <v>55396</v>
      </c>
      <c r="C31" s="7" t="n">
        <v>52647</v>
      </c>
      <c r="D31" s="7" t="n">
        <v>-21581</v>
      </c>
      <c r="E31" s="7" t="n">
        <v>9158</v>
      </c>
      <c r="F31" s="7" t="n">
        <v>15292</v>
      </c>
      <c r="G31" s="7" t="n">
        <v>17933</v>
      </c>
    </row>
    <row r="33" customFormat="false" ht="15" hidden="false" customHeight="false" outlineLevel="0" collapsed="false">
      <c r="A33" s="6" t="s">
        <v>109</v>
      </c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4" t="s">
        <v>110</v>
      </c>
      <c r="B34" s="5" t="n">
        <v>720866</v>
      </c>
      <c r="C34" s="5" t="n">
        <v>637267</v>
      </c>
      <c r="D34" s="5" t="n">
        <v>675100</v>
      </c>
      <c r="E34" s="5" t="n">
        <v>788982</v>
      </c>
      <c r="F34" s="5" t="n">
        <v>983322</v>
      </c>
      <c r="G34" s="5" t="n">
        <v>935952</v>
      </c>
    </row>
    <row r="35" customFormat="false" ht="15" hidden="false" customHeight="false" outlineLevel="0" collapsed="false">
      <c r="A35" s="4" t="s">
        <v>111</v>
      </c>
      <c r="B35" s="5" t="n">
        <v>-319050</v>
      </c>
      <c r="C35" s="5" t="n">
        <v>-319280</v>
      </c>
      <c r="D35" s="5" t="n">
        <v>-761176</v>
      </c>
      <c r="E35" s="5" t="n">
        <v>-528490</v>
      </c>
      <c r="F35" s="5" t="n">
        <v>-610286</v>
      </c>
      <c r="G35" s="5" t="n">
        <v>-339616</v>
      </c>
    </row>
    <row r="36" customFormat="false" ht="15" hidden="false" customHeight="false" outlineLevel="0" collapsed="false">
      <c r="A36" s="6" t="s">
        <v>112</v>
      </c>
      <c r="B36" s="7" t="n">
        <v>401816</v>
      </c>
      <c r="C36" s="7" t="n">
        <v>317987</v>
      </c>
      <c r="D36" s="7" t="n">
        <v>-86076</v>
      </c>
      <c r="E36" s="7" t="n">
        <v>260492</v>
      </c>
      <c r="F36" s="7" t="n">
        <v>373036</v>
      </c>
      <c r="G36" s="7" t="n">
        <v>596336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16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14" t="s">
        <v>115</v>
      </c>
      <c r="B4" s="15"/>
      <c r="C4" s="15"/>
      <c r="D4" s="15"/>
    </row>
    <row r="5" customFormat="false" ht="15" hidden="false" customHeight="false" outlineLevel="0" collapsed="false">
      <c r="A5" s="16" t="s">
        <v>116</v>
      </c>
      <c r="B5" s="17" t="n">
        <v>0.069</v>
      </c>
      <c r="D5" s="2" t="s">
        <v>117</v>
      </c>
    </row>
    <row r="6" customFormat="false" ht="15" hidden="false" customHeight="false" outlineLevel="0" collapsed="false">
      <c r="A6" s="16" t="s">
        <v>118</v>
      </c>
      <c r="B6" s="17" t="n">
        <v>0.069</v>
      </c>
      <c r="D6" s="2" t="s">
        <v>119</v>
      </c>
    </row>
    <row r="7" customFormat="false" ht="15" hidden="false" customHeight="false" outlineLevel="0" collapsed="false">
      <c r="A7" s="16" t="s">
        <v>120</v>
      </c>
      <c r="B7" s="17" t="n">
        <v>0.005</v>
      </c>
      <c r="D7" s="2" t="s">
        <v>121</v>
      </c>
    </row>
    <row r="9" customFormat="false" ht="15" hidden="false" customHeight="false" outlineLevel="0" collapsed="false">
      <c r="A9" s="16" t="s">
        <v>122</v>
      </c>
      <c r="B9" s="17" t="n">
        <v>0.73</v>
      </c>
      <c r="D9" s="2" t="s">
        <v>123</v>
      </c>
    </row>
    <row r="10" customFormat="false" ht="15" hidden="false" customHeight="false" outlineLevel="0" collapsed="false">
      <c r="A10" s="16" t="s">
        <v>124</v>
      </c>
      <c r="B10" s="17" t="n">
        <v>0.8</v>
      </c>
      <c r="D10" s="2" t="s">
        <v>125</v>
      </c>
    </row>
    <row r="11" customFormat="false" ht="15" hidden="false" customHeight="false" outlineLevel="0" collapsed="false">
      <c r="A11" s="16" t="s">
        <v>126</v>
      </c>
      <c r="B11" s="17" t="n">
        <v>0.252</v>
      </c>
      <c r="D11" s="2" t="s">
        <v>127</v>
      </c>
    </row>
    <row r="12" customFormat="false" ht="15" hidden="false" customHeight="false" outlineLevel="0" collapsed="false">
      <c r="A12" s="18" t="s">
        <v>128</v>
      </c>
      <c r="B12" s="19" t="n">
        <f aca="false">B9*(1+(1-B11)*B10)</f>
        <v>1.166832</v>
      </c>
    </row>
    <row r="14" customFormat="false" ht="15" hidden="false" customHeight="false" outlineLevel="0" collapsed="false">
      <c r="A14" s="18" t="s">
        <v>129</v>
      </c>
      <c r="B14" s="20" t="n">
        <f aca="false">B5+B12*(B6+B7)</f>
        <v>0.155345568</v>
      </c>
    </row>
    <row r="16" customFormat="false" ht="15" hidden="false" customHeight="false" outlineLevel="0" collapsed="false">
      <c r="A16" s="14" t="s">
        <v>130</v>
      </c>
      <c r="B16" s="15"/>
      <c r="C16" s="15"/>
      <c r="D16" s="15"/>
    </row>
    <row r="17" customFormat="false" ht="15" hidden="false" customHeight="false" outlineLevel="0" collapsed="false">
      <c r="A17" s="16" t="s">
        <v>131</v>
      </c>
      <c r="B17" s="17" t="n">
        <v>0.085</v>
      </c>
    </row>
    <row r="18" customFormat="false" ht="15" hidden="false" customHeight="false" outlineLevel="0" collapsed="false">
      <c r="A18" s="16" t="s">
        <v>132</v>
      </c>
      <c r="B18" s="17" t="n">
        <v>0.252</v>
      </c>
    </row>
    <row r="19" customFormat="false" ht="15" hidden="false" customHeight="false" outlineLevel="0" collapsed="false">
      <c r="A19" s="18" t="s">
        <v>133</v>
      </c>
      <c r="B19" s="20" t="n">
        <f aca="false">B17*(1-B18)</f>
        <v>0.06358</v>
      </c>
    </row>
    <row r="21" customFormat="false" ht="15" hidden="false" customHeight="false" outlineLevel="0" collapsed="false">
      <c r="A21" s="14" t="s">
        <v>134</v>
      </c>
      <c r="B21" s="15"/>
      <c r="C21" s="15"/>
      <c r="D21" s="15"/>
    </row>
    <row r="22" customFormat="false" ht="15" hidden="false" customHeight="false" outlineLevel="0" collapsed="false">
      <c r="A22" s="16" t="s">
        <v>135</v>
      </c>
      <c r="B22" s="21" t="n">
        <v>10940000</v>
      </c>
    </row>
    <row r="23" customFormat="false" ht="15" hidden="false" customHeight="false" outlineLevel="0" collapsed="false">
      <c r="A23" s="16" t="s">
        <v>136</v>
      </c>
      <c r="B23" s="21" t="n">
        <v>1979059</v>
      </c>
    </row>
    <row r="24" customFormat="false" ht="15" hidden="false" customHeight="false" outlineLevel="0" collapsed="false">
      <c r="A24" s="18" t="s">
        <v>137</v>
      </c>
      <c r="B24" s="22" t="n">
        <f aca="false">B22+B23</f>
        <v>12919059</v>
      </c>
    </row>
    <row r="25" customFormat="false" ht="15" hidden="false" customHeight="false" outlineLevel="0" collapsed="false">
      <c r="A25" s="18" t="s">
        <v>138</v>
      </c>
      <c r="B25" s="20" t="n">
        <f aca="false">B22/B24</f>
        <v>0.84681090162991</v>
      </c>
    </row>
    <row r="26" customFormat="false" ht="15" hidden="false" customHeight="false" outlineLevel="0" collapsed="false">
      <c r="A26" s="18" t="s">
        <v>139</v>
      </c>
      <c r="B26" s="20" t="n">
        <f aca="false">B23/B24</f>
        <v>0.15318909837009</v>
      </c>
    </row>
    <row r="28" customFormat="false" ht="15" hidden="false" customHeight="false" outlineLevel="0" collapsed="false">
      <c r="A28" s="14" t="s">
        <v>140</v>
      </c>
      <c r="B28" s="15"/>
      <c r="C28" s="15"/>
      <c r="D28" s="15"/>
    </row>
    <row r="29" customFormat="false" ht="17.35" hidden="false" customHeight="false" outlineLevel="0" collapsed="false">
      <c r="A29" s="18" t="s">
        <v>141</v>
      </c>
      <c r="B29" s="23" t="n">
        <f aca="false">B25*B14+B26*B19</f>
        <v>0.141288083376661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16.1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23.85" hidden="false" customHeight="false" outlineLevel="0" collapsed="false">
      <c r="A4" s="3" t="s">
        <v>2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G4" s="3" t="s">
        <v>149</v>
      </c>
      <c r="H4" s="3" t="s">
        <v>150</v>
      </c>
      <c r="I4" s="3" t="s">
        <v>151</v>
      </c>
      <c r="J4" s="3" t="s">
        <v>152</v>
      </c>
      <c r="K4" s="3" t="s">
        <v>153</v>
      </c>
      <c r="L4" s="3" t="s">
        <v>154</v>
      </c>
    </row>
    <row r="5" customFormat="false" ht="15" hidden="false" customHeight="false" outlineLevel="0" collapsed="false">
      <c r="A5" s="24" t="s">
        <v>155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customFormat="false" ht="15" hidden="false" customHeight="false" outlineLevel="0" collapsed="false">
      <c r="A6" s="26" t="s">
        <v>156</v>
      </c>
      <c r="B6" s="27"/>
      <c r="C6" s="28"/>
      <c r="D6" s="28"/>
      <c r="E6" s="28"/>
      <c r="F6" s="28"/>
      <c r="G6" s="28"/>
      <c r="H6" s="28"/>
      <c r="I6" s="28"/>
      <c r="J6" s="28"/>
      <c r="K6" s="28"/>
    </row>
    <row r="7" customFormat="false" ht="15" hidden="false" customHeight="false" outlineLevel="0" collapsed="false">
      <c r="A7" s="26" t="s">
        <v>157</v>
      </c>
      <c r="B7" s="29" t="n">
        <v>1729852</v>
      </c>
      <c r="C7" s="27"/>
      <c r="D7" s="27"/>
      <c r="E7" s="27"/>
      <c r="F7" s="27"/>
      <c r="G7" s="27"/>
      <c r="H7" s="27"/>
      <c r="I7" s="27"/>
      <c r="J7" s="27"/>
      <c r="K7" s="27"/>
    </row>
    <row r="9" customFormat="false" ht="15" hidden="false" customHeight="false" outlineLevel="0" collapsed="false">
      <c r="A9" s="24" t="s">
        <v>21</v>
      </c>
      <c r="B9" s="30" t="n">
        <v>947329</v>
      </c>
      <c r="C9" s="25"/>
      <c r="D9" s="25"/>
      <c r="E9" s="25"/>
      <c r="F9" s="25"/>
      <c r="G9" s="25"/>
      <c r="H9" s="25"/>
      <c r="I9" s="25"/>
      <c r="J9" s="25"/>
      <c r="K9" s="25"/>
    </row>
    <row r="10" customFormat="false" ht="15" hidden="false" customHeight="false" outlineLevel="0" collapsed="false">
      <c r="A10" s="26" t="s">
        <v>22</v>
      </c>
      <c r="B10" s="31" t="n">
        <v>0.548</v>
      </c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5" hidden="false" customHeight="false" outlineLevel="0" collapsed="false">
      <c r="A11" s="26" t="s">
        <v>21</v>
      </c>
      <c r="B11" s="29" t="n">
        <v>947329</v>
      </c>
      <c r="C11" s="27"/>
      <c r="D11" s="27"/>
      <c r="E11" s="27"/>
      <c r="F11" s="27"/>
      <c r="G11" s="27"/>
      <c r="H11" s="27"/>
      <c r="I11" s="27"/>
      <c r="J11" s="27"/>
      <c r="K11" s="27"/>
    </row>
    <row r="12" customFormat="false" ht="15" hidden="false" customHeight="false" outlineLevel="0" collapsed="false">
      <c r="A12" s="26" t="s">
        <v>88</v>
      </c>
      <c r="B12" s="29" t="n">
        <v>455703</v>
      </c>
      <c r="C12" s="27"/>
      <c r="D12" s="27"/>
      <c r="E12" s="27"/>
      <c r="F12" s="27"/>
      <c r="G12" s="27"/>
      <c r="H12" s="27"/>
      <c r="I12" s="27"/>
      <c r="J12" s="27"/>
      <c r="K12" s="27"/>
    </row>
    <row r="13" customFormat="false" ht="15" hidden="false" customHeight="false" outlineLevel="0" collapsed="false">
      <c r="A13" s="26" t="s">
        <v>158</v>
      </c>
      <c r="B13" s="29" t="n">
        <v>311117</v>
      </c>
      <c r="C13" s="27"/>
      <c r="D13" s="27"/>
      <c r="E13" s="27"/>
      <c r="F13" s="27"/>
      <c r="G13" s="27"/>
      <c r="H13" s="27"/>
      <c r="I13" s="27"/>
      <c r="J13" s="27"/>
      <c r="K13" s="27"/>
    </row>
    <row r="15" customFormat="false" ht="15" hidden="false" customHeight="false" outlineLevel="0" collapsed="false">
      <c r="A15" s="32" t="s">
        <v>159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customFormat="false" ht="15" hidden="false" customHeight="false" outlineLevel="0" collapsed="false">
      <c r="A16" s="26" t="s">
        <v>160</v>
      </c>
      <c r="B16" s="31" t="n">
        <v>0.252</v>
      </c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5" hidden="false" customHeight="false" outlineLevel="0" collapsed="false">
      <c r="A17" s="26" t="s">
        <v>161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9" customFormat="false" ht="15" hidden="false" customHeight="false" outlineLevel="0" collapsed="false">
      <c r="A19" s="26" t="s">
        <v>162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customFormat="false" ht="15" hidden="false" customHeight="false" outlineLevel="0" collapsed="false">
      <c r="A20" s="26" t="s">
        <v>163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2" customFormat="false" ht="15" hidden="false" customHeight="false" outlineLevel="0" collapsed="false">
      <c r="A22" s="26" t="s">
        <v>164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4" customFormat="false" ht="15" hidden="false" customHeight="false" outlineLevel="0" collapsed="false">
      <c r="A24" s="24" t="s">
        <v>165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customFormat="false" ht="15" hidden="false" customHeight="false" outlineLevel="0" collapsed="false">
      <c r="A25" s="26" t="s">
        <v>166</v>
      </c>
      <c r="B25" s="27"/>
      <c r="C25" s="28"/>
      <c r="D25" s="28"/>
      <c r="E25" s="28"/>
      <c r="F25" s="28"/>
      <c r="G25" s="28"/>
      <c r="H25" s="28"/>
      <c r="I25" s="28"/>
      <c r="J25" s="28"/>
      <c r="K25" s="28"/>
    </row>
    <row r="26" customFormat="false" ht="15" hidden="false" customHeight="false" outlineLevel="0" collapsed="false">
      <c r="A26" s="26" t="s">
        <v>167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8" customFormat="false" ht="15" hidden="false" customHeight="false" outlineLevel="0" collapsed="false">
      <c r="A28" s="24" t="s">
        <v>168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customFormat="false" ht="15" hidden="false" customHeight="false" outlineLevel="0" collapsed="false">
      <c r="A29" s="26" t="s">
        <v>169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15" hidden="false" customHeight="false" outlineLevel="0" collapsed="false">
      <c r="A30" s="26" t="s">
        <v>170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customFormat="false" ht="15" hidden="false" customHeight="false" outlineLevel="0" collapsed="false">
      <c r="A31" s="32" t="s">
        <v>171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customFormat="false" ht="15" hidden="false" customHeight="false" outlineLevel="0" collapsed="false">
      <c r="A32" s="26" t="s">
        <v>172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4" customFormat="false" ht="15" hidden="false" customHeight="false" outlineLevel="0" collapsed="false">
      <c r="A34" s="24" t="s">
        <v>173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customFormat="false" ht="15" hidden="false" customHeight="false" outlineLevel="0" collapsed="false">
      <c r="A35" s="32" t="s">
        <v>174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customFormat="false" ht="15" hidden="false" customHeight="false" outlineLevel="0" collapsed="false">
      <c r="A36" s="26" t="s">
        <v>172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customFormat="false" ht="15" hidden="false" customHeight="false" outlineLevel="0" collapsed="false">
      <c r="A37" s="32" t="s">
        <v>137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customFormat="false" ht="15" hidden="false" customHeight="false" outlineLevel="0" collapsed="false">
      <c r="A38" s="26" t="s">
        <v>175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customFormat="false" ht="15" hidden="false" customHeight="false" outlineLevel="0" collapsed="false">
      <c r="A39" s="26" t="s">
        <v>176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customFormat="false" ht="15" hidden="false" customHeight="false" outlineLevel="0" collapsed="false">
      <c r="A40" s="34" t="s">
        <v>177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customFormat="false" ht="15" hidden="false" customHeight="false" outlineLevel="0" collapsed="false">
      <c r="A41" s="26" t="s">
        <v>178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customFormat="false" ht="15" hidden="false" customHeight="false" outlineLevel="0" collapsed="false">
      <c r="A42" s="32" t="s">
        <v>179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customFormat="false" ht="15" hidden="false" customHeight="false" outlineLevel="0" collapsed="false">
      <c r="A43" s="26" t="s">
        <v>180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customFormat="false" ht="15" hidden="false" customHeight="false" outlineLevel="0" collapsed="false">
      <c r="A44" s="26" t="s">
        <v>181</v>
      </c>
      <c r="B44" s="27"/>
      <c r="C44" s="28"/>
      <c r="D44" s="28"/>
      <c r="E44" s="28"/>
      <c r="F44" s="28"/>
      <c r="G44" s="28"/>
      <c r="H44" s="28"/>
      <c r="I44" s="28"/>
      <c r="J44" s="28"/>
      <c r="K4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182</v>
      </c>
    </row>
    <row r="3" customFormat="false" ht="23.85" hidden="false" customHeight="false" outlineLevel="0" collapsed="false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</row>
    <row r="4" customFormat="false" ht="15" hidden="false" customHeight="false" outlineLevel="0" collapsed="false">
      <c r="A4" s="24" t="s">
        <v>190</v>
      </c>
      <c r="B4" s="24"/>
      <c r="C4" s="24"/>
      <c r="D4" s="24"/>
      <c r="E4" s="24"/>
      <c r="F4" s="24"/>
      <c r="G4" s="24"/>
    </row>
    <row r="5" customFormat="false" ht="15" hidden="false" customHeight="false" outlineLevel="0" collapsed="false">
      <c r="A5" s="26" t="s">
        <v>191</v>
      </c>
      <c r="B5" s="26" t="s">
        <v>192</v>
      </c>
      <c r="C5" s="29" t="n">
        <v>465918</v>
      </c>
      <c r="D5" s="29" t="n">
        <v>449738</v>
      </c>
      <c r="E5" s="29" t="n">
        <v>436096</v>
      </c>
      <c r="F5" s="29" t="n">
        <v>424461</v>
      </c>
      <c r="G5" s="29" t="n">
        <v>413869</v>
      </c>
    </row>
    <row r="6" customFormat="false" ht="15" hidden="false" customHeight="false" outlineLevel="0" collapsed="false">
      <c r="A6" s="26" t="s">
        <v>193</v>
      </c>
      <c r="B6" s="26" t="s">
        <v>194</v>
      </c>
      <c r="C6" s="29" t="n">
        <v>259</v>
      </c>
      <c r="D6" s="29" t="n">
        <v>256</v>
      </c>
      <c r="E6" s="29" t="n">
        <v>250</v>
      </c>
      <c r="F6" s="29" t="n">
        <v>245</v>
      </c>
      <c r="G6" s="29" t="n">
        <v>245</v>
      </c>
    </row>
    <row r="7" customFormat="false" ht="15" hidden="false" customHeight="false" outlineLevel="0" collapsed="false">
      <c r="A7" s="26" t="s">
        <v>195</v>
      </c>
      <c r="B7" s="26" t="s">
        <v>192</v>
      </c>
      <c r="C7" s="29" t="n">
        <v>290997</v>
      </c>
      <c r="D7" s="29" t="n">
        <v>285823</v>
      </c>
      <c r="E7" s="29" t="n">
        <v>280692</v>
      </c>
      <c r="F7" s="29" t="n">
        <v>276784</v>
      </c>
      <c r="G7" s="29" t="n">
        <v>270155</v>
      </c>
    </row>
    <row r="8" customFormat="false" ht="15" hidden="false" customHeight="false" outlineLevel="0" collapsed="false">
      <c r="A8" s="26" t="s">
        <v>196</v>
      </c>
      <c r="B8" s="26" t="s">
        <v>192</v>
      </c>
      <c r="C8" s="29" t="n">
        <v>13086</v>
      </c>
      <c r="D8" s="29" t="n">
        <v>11928</v>
      </c>
      <c r="E8" s="29" t="n">
        <v>10976</v>
      </c>
      <c r="F8" s="29" t="n">
        <v>10038</v>
      </c>
      <c r="G8" s="29" t="n">
        <v>9226</v>
      </c>
    </row>
    <row r="9" customFormat="false" ht="15" hidden="false" customHeight="false" outlineLevel="0" collapsed="false">
      <c r="A9" s="26" t="s">
        <v>197</v>
      </c>
      <c r="B9" s="26" t="s">
        <v>198</v>
      </c>
      <c r="C9" s="35" t="n">
        <v>29.8</v>
      </c>
      <c r="D9" s="35" t="n">
        <v>28.3</v>
      </c>
      <c r="E9" s="35" t="n">
        <v>26.9</v>
      </c>
      <c r="F9" s="35" t="n">
        <v>25.1</v>
      </c>
      <c r="G9" s="35" t="n">
        <v>24.5</v>
      </c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  <c r="G10" s="26"/>
    </row>
    <row r="11" customFormat="false" ht="15" hidden="false" customHeight="false" outlineLevel="0" collapsed="false">
      <c r="A11" s="24" t="s">
        <v>199</v>
      </c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26" t="s">
        <v>200</v>
      </c>
      <c r="B12" s="26" t="s">
        <v>192</v>
      </c>
      <c r="C12" s="29" t="n">
        <v>179389</v>
      </c>
      <c r="D12" s="29" t="n">
        <v>173816</v>
      </c>
      <c r="E12" s="29" t="n">
        <v>169389</v>
      </c>
      <c r="F12" s="29" t="n">
        <v>166053</v>
      </c>
      <c r="G12" s="29" t="n">
        <v>163106</v>
      </c>
    </row>
    <row r="13" customFormat="false" ht="15" hidden="false" customHeight="false" outlineLevel="0" collapsed="false">
      <c r="A13" s="26" t="s">
        <v>201</v>
      </c>
      <c r="B13" s="26" t="s">
        <v>202</v>
      </c>
      <c r="C13" s="35" t="n">
        <v>2.51</v>
      </c>
      <c r="D13" s="35" t="n">
        <v>2.45</v>
      </c>
      <c r="E13" s="35" t="n">
        <v>2.36</v>
      </c>
      <c r="F13" s="35" t="n">
        <v>2.26</v>
      </c>
      <c r="G13" s="35" t="n">
        <v>2.25</v>
      </c>
    </row>
    <row r="14" customFormat="false" ht="15" hidden="false" customHeight="false" outlineLevel="0" collapsed="false">
      <c r="A14" s="26" t="s">
        <v>203</v>
      </c>
      <c r="B14" s="26" t="s">
        <v>192</v>
      </c>
      <c r="C14" s="29" t="n">
        <v>51986</v>
      </c>
      <c r="D14" s="29" t="n">
        <v>49752</v>
      </c>
      <c r="E14" s="29" t="n">
        <v>45829</v>
      </c>
      <c r="F14" s="29" t="n">
        <v>44566</v>
      </c>
      <c r="G14" s="29" t="n">
        <v>44334</v>
      </c>
    </row>
    <row r="15" customFormat="false" ht="15" hidden="false" customHeight="false" outlineLevel="0" collapsed="false">
      <c r="A15" s="26"/>
      <c r="B15" s="26"/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24" t="s">
        <v>204</v>
      </c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26" t="s">
        <v>205</v>
      </c>
      <c r="B17" s="26" t="s">
        <v>206</v>
      </c>
      <c r="C17" s="26" t="s">
        <v>207</v>
      </c>
      <c r="D17" s="26" t="s">
        <v>208</v>
      </c>
      <c r="E17" s="26" t="s">
        <v>209</v>
      </c>
      <c r="F17" s="26" t="s">
        <v>210</v>
      </c>
      <c r="G17" s="26" t="s">
        <v>211</v>
      </c>
    </row>
    <row r="18" customFormat="false" ht="15" hidden="false" customHeight="false" outlineLevel="0" collapsed="false">
      <c r="A18" s="26" t="s">
        <v>212</v>
      </c>
      <c r="B18" s="26" t="s">
        <v>206</v>
      </c>
      <c r="C18" s="26" t="s">
        <v>213</v>
      </c>
      <c r="D18" s="26" t="s">
        <v>214</v>
      </c>
      <c r="E18" s="26" t="s">
        <v>215</v>
      </c>
      <c r="F18" s="26" t="s">
        <v>216</v>
      </c>
      <c r="G18" s="26" t="s">
        <v>217</v>
      </c>
    </row>
    <row r="19" customFormat="false" ht="15" hidden="false" customHeight="false" outlineLevel="0" collapsed="false">
      <c r="A19" s="26" t="s">
        <v>218</v>
      </c>
      <c r="B19" s="26" t="s">
        <v>206</v>
      </c>
      <c r="C19" s="26" t="s">
        <v>219</v>
      </c>
      <c r="D19" s="26" t="s">
        <v>220</v>
      </c>
      <c r="E19" s="26" t="s">
        <v>221</v>
      </c>
      <c r="F19" s="26" t="s">
        <v>222</v>
      </c>
      <c r="G19" s="26" t="s">
        <v>223</v>
      </c>
    </row>
    <row r="20" customFormat="false" ht="15" hidden="false" customHeight="false" outlineLevel="0" collapsed="false">
      <c r="A20" s="26" t="s">
        <v>224</v>
      </c>
      <c r="B20" s="26" t="s">
        <v>206</v>
      </c>
      <c r="C20" s="26" t="s">
        <v>225</v>
      </c>
      <c r="D20" s="26" t="s">
        <v>226</v>
      </c>
      <c r="E20" s="26" t="s">
        <v>227</v>
      </c>
      <c r="F20" s="26" t="s">
        <v>228</v>
      </c>
      <c r="G20" s="26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2026-03-30T09:02:42Z</dcterms:created>
  <dc:creator>openpyxl</dc:creator>
  <dc:description/>
  <dc:language>en-US</dc:language>
  <cp:lastModifiedBy/>
  <dcterms:modified xsi:type="dcterms:W3CDTF">2026-03-30T09:02:42Z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