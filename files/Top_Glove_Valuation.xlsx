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riddhiagarwal/Downloads/"/>
    </mc:Choice>
  </mc:AlternateContent>
  <xr:revisionPtr revIDLastSave="0" documentId="13_ncr:1_{0E8B452D-CC59-7940-B043-95D9266FF302}" xr6:coauthVersionLast="47" xr6:coauthVersionMax="47" xr10:uidLastSave="{00000000-0000-0000-0000-000000000000}"/>
  <bookViews>
    <workbookView xWindow="0" yWindow="760" windowWidth="29400" windowHeight="16540" activeTab="2" xr2:uid="{00000000-000D-0000-FFFF-FFFF00000000}"/>
  </bookViews>
  <sheets>
    <sheet name="Raw Data 2024" sheetId="1" r:id="rId1"/>
    <sheet name="Model" sheetId="3" r:id="rId2"/>
    <sheet name="DCF Valuation" sheetId="4" r:id="rId3"/>
    <sheet name="Market-Comps" sheetId="5" r:id="rId4"/>
    <sheet name="Comparable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5" l="1" a="1"/>
  <c r="C31" i="5" s="1"/>
  <c r="C30" i="5"/>
  <c r="D14" i="5"/>
  <c r="D13" i="5"/>
  <c r="C22" i="5" s="1" a="1"/>
  <c r="C22" i="5" s="1"/>
  <c r="C55" i="4" a="1"/>
  <c r="C55" i="4" s="1"/>
  <c r="C54" i="4"/>
  <c r="G31" i="4"/>
  <c r="F31" i="4"/>
  <c r="E31" i="4"/>
  <c r="D31" i="4"/>
  <c r="C31" i="4"/>
  <c r="C9" i="4" a="1"/>
  <c r="C9" i="4"/>
  <c r="D109" i="3" a="1"/>
  <c r="D109" i="3" s="1"/>
  <c r="C78" i="3"/>
  <c r="E76" i="3" a="1"/>
  <c r="E76" i="3" s="1"/>
  <c r="F76" i="3" s="1" a="1"/>
  <c r="F76" i="3" s="1"/>
  <c r="D76" i="3" a="1"/>
  <c r="D76" i="3"/>
  <c r="C70" i="3"/>
  <c r="F69" i="3" a="1"/>
  <c r="F69" i="3" s="1"/>
  <c r="G69" i="3" s="1" a="1"/>
  <c r="G69" i="3" s="1"/>
  <c r="H69" i="3" s="1" a="1"/>
  <c r="H69" i="3" s="1"/>
  <c r="D69" i="3" a="1"/>
  <c r="D69" i="3"/>
  <c r="E69" i="3" s="1" a="1"/>
  <c r="E69" i="3" s="1"/>
  <c r="C66" i="3"/>
  <c r="C72" i="3" s="1"/>
  <c r="C80" i="3" s="1"/>
  <c r="G65" i="3" a="1"/>
  <c r="G65" i="3" s="1"/>
  <c r="H65" i="3" s="1" a="1"/>
  <c r="H65" i="3" s="1"/>
  <c r="D65" i="3" a="1"/>
  <c r="D65" i="3"/>
  <c r="E65" i="3" s="1" a="1"/>
  <c r="E65" i="3" s="1"/>
  <c r="F65" i="3" s="1" a="1"/>
  <c r="F65" i="3" s="1"/>
  <c r="C60" i="3"/>
  <c r="C58" i="3"/>
  <c r="E57" i="3" a="1"/>
  <c r="E57" i="3" s="1"/>
  <c r="F57" i="3" s="1" a="1"/>
  <c r="F57" i="3" s="1"/>
  <c r="G57" i="3" s="1" a="1"/>
  <c r="G57" i="3" s="1"/>
  <c r="H57" i="3" s="1" a="1"/>
  <c r="H57" i="3" s="1"/>
  <c r="D57" i="3" a="1"/>
  <c r="D57" i="3"/>
  <c r="C54" i="3"/>
  <c r="D41" i="3"/>
  <c r="C40" i="3"/>
  <c r="C43" i="3" s="1"/>
  <c r="C45" i="3" s="1"/>
  <c r="E39" i="3"/>
  <c r="D21" i="4" s="1"/>
  <c r="C36" i="3"/>
  <c r="D34" i="3"/>
  <c r="C16" i="3"/>
  <c r="B16" i="1"/>
  <c r="B13" i="1"/>
  <c r="B17" i="1" s="1"/>
  <c r="B20" i="1" s="1"/>
  <c r="B23" i="1" s="1"/>
  <c r="B25" i="1" s="1"/>
  <c r="G76" i="3" l="1" a="1"/>
  <c r="G76" i="3" s="1"/>
  <c r="E87" i="3"/>
  <c r="D35" i="3"/>
  <c r="D38" i="3"/>
  <c r="D52" i="3"/>
  <c r="D89" i="3" s="1"/>
  <c r="E34" i="3"/>
  <c r="D39" i="3"/>
  <c r="D97" i="3"/>
  <c r="D87" i="3" l="1"/>
  <c r="C21" i="4"/>
  <c r="D56" i="3"/>
  <c r="E38" i="3"/>
  <c r="E40" i="3" s="1"/>
  <c r="E35" i="3"/>
  <c r="E36" i="3" s="1"/>
  <c r="E52" i="3"/>
  <c r="E89" i="3" s="1"/>
  <c r="E97" i="3"/>
  <c r="F34" i="3"/>
  <c r="F39" i="3"/>
  <c r="D40" i="3"/>
  <c r="H76" i="3" a="1"/>
  <c r="H76" i="3" s="1"/>
  <c r="D64" i="3"/>
  <c r="D53" i="3"/>
  <c r="D90" i="3" s="1"/>
  <c r="D36" i="3"/>
  <c r="C22" i="4" a="1"/>
  <c r="C22" i="4" s="1"/>
  <c r="D99" i="3" a="1"/>
  <c r="D99" i="3" s="1"/>
  <c r="D66" i="3" l="1"/>
  <c r="D91" i="3"/>
  <c r="C23" i="4" s="1"/>
  <c r="E21" i="4"/>
  <c r="F87" i="3"/>
  <c r="E99" i="3" a="1"/>
  <c r="E99" i="3" s="1"/>
  <c r="D22" i="4" a="1"/>
  <c r="D22" i="4" s="1"/>
  <c r="D17" i="4" a="1"/>
  <c r="D17" i="4" s="1"/>
  <c r="F35" i="3"/>
  <c r="F52" i="3"/>
  <c r="F89" i="3" s="1"/>
  <c r="F97" i="3"/>
  <c r="G34" i="3"/>
  <c r="F38" i="3"/>
  <c r="F40" i="3" s="1"/>
  <c r="F36" i="3"/>
  <c r="E53" i="3"/>
  <c r="E90" i="3" s="1"/>
  <c r="E64" i="3"/>
  <c r="D58" i="3"/>
  <c r="E56" i="3"/>
  <c r="G39" i="3"/>
  <c r="C17" i="4" a="1"/>
  <c r="C17" i="4" s="1"/>
  <c r="D43" i="3"/>
  <c r="E17" i="4" l="1" a="1"/>
  <c r="E17" i="4" s="1"/>
  <c r="F64" i="3"/>
  <c r="F53" i="3"/>
  <c r="F90" i="3" s="1"/>
  <c r="E91" i="3"/>
  <c r="D23" i="4" s="1"/>
  <c r="E66" i="3"/>
  <c r="D45" i="3"/>
  <c r="D44" i="3"/>
  <c r="G52" i="3"/>
  <c r="G89" i="3" s="1"/>
  <c r="H34" i="3"/>
  <c r="G97" i="3"/>
  <c r="G38" i="3"/>
  <c r="G40" i="3" s="1"/>
  <c r="G35" i="3"/>
  <c r="C18" i="4"/>
  <c r="C19" i="4" s="1"/>
  <c r="C25" i="4" s="1"/>
  <c r="C32" i="4" s="1"/>
  <c r="E22" i="4" a="1"/>
  <c r="E22" i="4" s="1"/>
  <c r="F99" i="3" a="1"/>
  <c r="F99" i="3" s="1"/>
  <c r="F21" i="4"/>
  <c r="G87" i="3"/>
  <c r="E58" i="3"/>
  <c r="F56" i="3"/>
  <c r="D18" i="4"/>
  <c r="D19" i="4" s="1"/>
  <c r="H39" i="3"/>
  <c r="D25" i="4" l="1"/>
  <c r="D32" i="4" s="1"/>
  <c r="D77" i="3"/>
  <c r="D86" i="3" a="1"/>
  <c r="D86" i="3" s="1"/>
  <c r="D93" i="3" s="1"/>
  <c r="H87" i="3"/>
  <c r="G21" i="4"/>
  <c r="G64" i="3"/>
  <c r="G53" i="3"/>
  <c r="G90" i="3" s="1"/>
  <c r="F17" i="4" a="1"/>
  <c r="F17" i="4" s="1"/>
  <c r="F91" i="3"/>
  <c r="E23" i="4" s="1"/>
  <c r="F66" i="3"/>
  <c r="F58" i="3"/>
  <c r="G56" i="3"/>
  <c r="G36" i="3"/>
  <c r="F22" i="4" a="1"/>
  <c r="F22" i="4" s="1"/>
  <c r="G99" i="3" a="1"/>
  <c r="G99" i="3" s="1"/>
  <c r="H97" i="3"/>
  <c r="H36" i="3"/>
  <c r="H38" i="3"/>
  <c r="H52" i="3"/>
  <c r="H89" i="3" s="1"/>
  <c r="H35" i="3"/>
  <c r="E18" i="4"/>
  <c r="E19" i="4" s="1"/>
  <c r="E25" i="4" l="1"/>
  <c r="E32" i="4" s="1"/>
  <c r="H56" i="3"/>
  <c r="H58" i="3" s="1"/>
  <c r="G58" i="3"/>
  <c r="D78" i="3"/>
  <c r="F18" i="4"/>
  <c r="F19" i="4" s="1"/>
  <c r="H99" i="3" a="1"/>
  <c r="H99" i="3" s="1"/>
  <c r="G22" i="4" a="1"/>
  <c r="G22" i="4" s="1"/>
  <c r="G91" i="3"/>
  <c r="F23" i="4" s="1"/>
  <c r="G66" i="3"/>
  <c r="D103" i="3"/>
  <c r="H64" i="3"/>
  <c r="H53" i="3"/>
  <c r="H90" i="3" s="1"/>
  <c r="H40" i="3"/>
  <c r="C21" i="5" a="1"/>
  <c r="C21" i="5" s="1"/>
  <c r="C24" i="5" s="1"/>
  <c r="F25" i="4" l="1"/>
  <c r="F32" i="4" s="1"/>
  <c r="C29" i="5" a="1"/>
  <c r="C29" i="5" s="1"/>
  <c r="C33" i="5" s="1"/>
  <c r="C39" i="5" a="1"/>
  <c r="C39" i="5" s="1"/>
  <c r="G17" i="4" a="1"/>
  <c r="G17" i="4" s="1"/>
  <c r="H66" i="3"/>
  <c r="H91" i="3"/>
  <c r="G23" i="4" s="1"/>
  <c r="D105" i="3" a="1"/>
  <c r="D105" i="3" s="1"/>
  <c r="D108" i="3" s="1"/>
  <c r="D110" i="3" s="1"/>
  <c r="D68" i="3"/>
  <c r="D51" i="3" l="1" a="1"/>
  <c r="D51" i="3" s="1"/>
  <c r="E109" i="3" a="1"/>
  <c r="E109" i="3" s="1"/>
  <c r="G18" i="4"/>
  <c r="G19" i="4" s="1"/>
  <c r="G25" i="4" s="1"/>
  <c r="D70" i="3"/>
  <c r="D72" i="3" s="1"/>
  <c r="D80" i="3" s="1"/>
  <c r="E41" i="3"/>
  <c r="E43" i="3" s="1"/>
  <c r="C39" i="4" l="1" a="1"/>
  <c r="C39" i="4" s="1"/>
  <c r="C40" i="4" s="1"/>
  <c r="C41" i="4" s="1"/>
  <c r="C47" i="4" s="1" a="1"/>
  <c r="C47" i="4" s="1"/>
  <c r="G32" i="4"/>
  <c r="C34" i="4" s="1"/>
  <c r="C46" i="4" s="1" a="1"/>
  <c r="C46" i="4" s="1"/>
  <c r="E44" i="3"/>
  <c r="E45" i="3"/>
  <c r="D54" i="3"/>
  <c r="D60" i="3" s="1"/>
  <c r="D82" i="3" s="1"/>
  <c r="E86" i="3" l="1" a="1"/>
  <c r="E86" i="3" s="1"/>
  <c r="E93" i="3" s="1"/>
  <c r="E77" i="3"/>
  <c r="C48" i="4"/>
  <c r="C62" i="4" s="1"/>
  <c r="C65" i="4" l="1"/>
  <c r="C38" i="5" a="1"/>
  <c r="C38" i="5" s="1"/>
  <c r="C53" i="4" a="1"/>
  <c r="C53" i="4" s="1"/>
  <c r="C57" i="4" s="1"/>
  <c r="C66" i="4"/>
  <c r="C63" i="4"/>
  <c r="E78" i="3"/>
  <c r="E103" i="3"/>
  <c r="E105" i="3" l="1" a="1"/>
  <c r="E105" i="3" s="1"/>
  <c r="E108" i="3" s="1"/>
  <c r="E110" i="3" s="1"/>
  <c r="E68" i="3"/>
  <c r="C41" i="5"/>
  <c r="C40" i="5"/>
  <c r="E70" i="3" l="1"/>
  <c r="E72" i="3" s="1"/>
  <c r="E80" i="3" s="1"/>
  <c r="F41" i="3"/>
  <c r="F43" i="3" s="1"/>
  <c r="E51" i="3" a="1"/>
  <c r="E51" i="3" s="1"/>
  <c r="F109" i="3" a="1"/>
  <c r="F109" i="3" s="1"/>
  <c r="E54" i="3" l="1"/>
  <c r="E60" i="3" s="1"/>
  <c r="E82" i="3" s="1"/>
  <c r="F44" i="3"/>
  <c r="F45" i="3"/>
  <c r="F86" i="3" l="1" a="1"/>
  <c r="F86" i="3" s="1"/>
  <c r="F93" i="3" s="1"/>
  <c r="F77" i="3"/>
  <c r="F78" i="3" l="1"/>
  <c r="F103" i="3"/>
  <c r="F105" i="3" l="1" a="1"/>
  <c r="F105" i="3" s="1"/>
  <c r="F108" i="3" s="1"/>
  <c r="F110" i="3" s="1"/>
  <c r="F68" i="3"/>
  <c r="F70" i="3" l="1"/>
  <c r="F72" i="3" s="1"/>
  <c r="F80" i="3" s="1"/>
  <c r="G41" i="3"/>
  <c r="G43" i="3" s="1"/>
  <c r="G109" i="3" a="1"/>
  <c r="G109" i="3" s="1"/>
  <c r="F51" i="3" a="1"/>
  <c r="F51" i="3" s="1"/>
  <c r="F54" i="3" l="1"/>
  <c r="F60" i="3" s="1"/>
  <c r="F82" i="3" s="1"/>
  <c r="G44" i="3"/>
  <c r="G45" i="3" s="1"/>
  <c r="G86" i="3" l="1" a="1"/>
  <c r="G86" i="3" s="1"/>
  <c r="G93" i="3" s="1"/>
  <c r="G77" i="3"/>
  <c r="G78" i="3" l="1"/>
  <c r="G103" i="3"/>
  <c r="G105" i="3" l="1" a="1"/>
  <c r="G105" i="3" s="1"/>
  <c r="G108" i="3" s="1"/>
  <c r="G110" i="3" s="1"/>
  <c r="G68" i="3"/>
  <c r="G70" i="3" l="1"/>
  <c r="G72" i="3" s="1"/>
  <c r="G80" i="3" s="1"/>
  <c r="H41" i="3"/>
  <c r="H43" i="3" s="1"/>
  <c r="H109" i="3" a="1"/>
  <c r="H109" i="3" s="1"/>
  <c r="G51" i="3" a="1"/>
  <c r="G51" i="3" s="1"/>
  <c r="H44" i="3" l="1"/>
  <c r="H45" i="3"/>
  <c r="G54" i="3"/>
  <c r="G60" i="3" s="1"/>
  <c r="G82" i="3" s="1"/>
  <c r="H86" i="3" l="1" a="1"/>
  <c r="H86" i="3" s="1"/>
  <c r="H93" i="3" s="1"/>
  <c r="H77" i="3"/>
  <c r="H78" i="3" s="1"/>
  <c r="H103" i="3" l="1"/>
  <c r="H105" i="3" l="1" a="1"/>
  <c r="H105" i="3" s="1"/>
  <c r="H108" i="3" s="1"/>
  <c r="H110" i="3" s="1"/>
  <c r="H51" i="3" s="1" a="1"/>
  <c r="H51" i="3" s="1"/>
  <c r="H54" i="3" s="1"/>
  <c r="H60" i="3" s="1"/>
  <c r="H68" i="3"/>
  <c r="H70" i="3" s="1"/>
  <c r="H72" i="3" s="1"/>
  <c r="H80" i="3" s="1"/>
  <c r="H82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<sst xmlns="http://schemas.openxmlformats.org/spreadsheetml/2006/main" count="610" uniqueCount="519">
  <si>
    <t>Income Statement (Standard (5FY + TTM))</t>
  </si>
  <si>
    <t>Downloaded On: 26-Nov-2025</t>
  </si>
  <si>
    <t>Company: Top Glove (KLS: 7113)</t>
  </si>
  <si>
    <t>FY 2024</t>
  </si>
  <si>
    <t>FY 2025</t>
  </si>
  <si>
    <t>Aug-2025</t>
  </si>
  <si>
    <t>Amounts in Thousands, MYR (except Ratios, Multiples &amp; per share items)</t>
  </si>
  <si>
    <t>Filed: 09-Oct-2025</t>
  </si>
  <si>
    <t xml:space="preserve"> </t>
  </si>
  <si>
    <t>Gross Profit</t>
  </si>
  <si>
    <t xml:space="preserve">    Revenue</t>
  </si>
  <si>
    <t xml:space="preserve">    Cost of Revenue</t>
  </si>
  <si>
    <t xml:space="preserve">    Total Gross Profit</t>
  </si>
  <si>
    <t xml:space="preserve">Distribution and Selling Costs </t>
  </si>
  <si>
    <t xml:space="preserve"> Administrative and General Expenses</t>
  </si>
  <si>
    <t xml:space="preserve">Other income </t>
  </si>
  <si>
    <t xml:space="preserve">EBITDA </t>
  </si>
  <si>
    <t>Impairment losses on goodwill, property, plant and equipment and right-of-use assets</t>
  </si>
  <si>
    <t>Property, plant and equipment written off (Depreciation)</t>
  </si>
  <si>
    <t xml:space="preserve">EBIT </t>
  </si>
  <si>
    <t>Interest Expense</t>
  </si>
  <si>
    <t xml:space="preserve">Interest income </t>
  </si>
  <si>
    <t xml:space="preserve">PBT </t>
  </si>
  <si>
    <t>Tax (Expense)/ Credit</t>
  </si>
  <si>
    <t>PAT</t>
  </si>
  <si>
    <t xml:space="preserve">BALANCE SHEET </t>
  </si>
  <si>
    <t>Assets</t>
  </si>
  <si>
    <t xml:space="preserve">    Current Assets</t>
  </si>
  <si>
    <t xml:space="preserve">        Cash, Cash Equivalents and Short Term Investments</t>
  </si>
  <si>
    <t xml:space="preserve">            Cash and Cash Equivalents</t>
  </si>
  <si>
    <t xml:space="preserve">                Cash</t>
  </si>
  <si>
    <t xml:space="preserve">                Cash Equivalents</t>
  </si>
  <si>
    <t xml:space="preserve">                Total Cash and Cash Equivalents</t>
  </si>
  <si>
    <t xml:space="preserve">            Short Term Investments</t>
  </si>
  <si>
    <t xml:space="preserve">                Available-for-Sale Securities, Current</t>
  </si>
  <si>
    <t xml:space="preserve">                Other Short Term Investments</t>
  </si>
  <si>
    <t xml:space="preserve">                Total Short Term Investments</t>
  </si>
  <si>
    <t xml:space="preserve">            Total Cash, Cash Equivalents and Short Term Investments</t>
  </si>
  <si>
    <t xml:space="preserve">        Cash Restricted or Pledged, Current</t>
  </si>
  <si>
    <t xml:space="preserve">        Derivative Investment and Hedging Assets, Current</t>
  </si>
  <si>
    <t xml:space="preserve">        Inventories</t>
  </si>
  <si>
    <t xml:space="preserve">            Raw Materials, Consumables and Supplies</t>
  </si>
  <si>
    <t xml:space="preserve">            Work-in-Process</t>
  </si>
  <si>
    <t xml:space="preserve">            Finished Goods and Merchandise</t>
  </si>
  <si>
    <t xml:space="preserve">            Total Inventories</t>
  </si>
  <si>
    <t xml:space="preserve">        Trade and Other Receivables, Current</t>
  </si>
  <si>
    <t xml:space="preserve">            Trade/Accounts Receivable, Current</t>
  </si>
  <si>
    <t xml:space="preserve">                Gross Trade/Accounts Receivable, Current</t>
  </si>
  <si>
    <t xml:space="preserve">                Allowance/Adjustments for Trade/Accounts Receivable, Current</t>
  </si>
  <si>
    <t xml:space="preserve">                Total Trade/Accounts Receivable, Current</t>
  </si>
  <si>
    <t xml:space="preserve">            Taxes Receivable, Current</t>
  </si>
  <si>
    <t xml:space="preserve">            Other Receivables, Current</t>
  </si>
  <si>
    <t xml:space="preserve">            Total Trade and Other Receivables, Current</t>
  </si>
  <si>
    <t xml:space="preserve">        Prepayments and Deposits, Current</t>
  </si>
  <si>
    <t xml:space="preserve">        Assets Held for Sale/Discontinued Operations, Current</t>
  </si>
  <si>
    <t xml:space="preserve">        Other Current Assets</t>
  </si>
  <si>
    <t xml:space="preserve">        Total Current Assets</t>
  </si>
  <si>
    <t xml:space="preserve">    Non-Current Assets</t>
  </si>
  <si>
    <t xml:space="preserve">        Net Property, Plant and Equipment</t>
  </si>
  <si>
    <t xml:space="preserve">            Gross Property, Plant and Equipment</t>
  </si>
  <si>
    <t xml:space="preserve">                Properties</t>
  </si>
  <si>
    <t xml:space="preserve">                    Land and Improvements</t>
  </si>
  <si>
    <t xml:space="preserve">                    Buildings and Improvements</t>
  </si>
  <si>
    <t xml:space="preserve">                    Total Properties</t>
  </si>
  <si>
    <t xml:space="preserve">                Machinery, Furniture and Equipment</t>
  </si>
  <si>
    <t xml:space="preserve">                    Plant and Machinery</t>
  </si>
  <si>
    <t xml:space="preserve">                    Total Machinery, Furniture and Equipment</t>
  </si>
  <si>
    <t xml:space="preserve">                Construction in Progress and Advance Payments</t>
  </si>
  <si>
    <t xml:space="preserve">                Leased Property, Plant and Equipment</t>
  </si>
  <si>
    <t xml:space="preserve">                Other Property, Plant and Equipment</t>
  </si>
  <si>
    <t xml:space="preserve">                Total Gross Property, Plant and Equipment</t>
  </si>
  <si>
    <t xml:space="preserve">            Accumulated Depreciation and Impairment</t>
  </si>
  <si>
    <t xml:space="preserve">                Accumulated Depreciation</t>
  </si>
  <si>
    <t xml:space="preserve">                    Accumulated Depreciation of Properties</t>
  </si>
  <si>
    <t xml:space="preserve">                        Accumulated Depreciation of Land and Improvements</t>
  </si>
  <si>
    <t xml:space="preserve">                        Accumulated Depreciation of Buildings</t>
  </si>
  <si>
    <t xml:space="preserve">                        Total Accumulated Depreciation of Properties</t>
  </si>
  <si>
    <t xml:space="preserve">                    Accumulated Depreciation of Machinery, Furniture and Equipment</t>
  </si>
  <si>
    <t xml:space="preserve">                        Accumulated Depreciation of Plant and Machinery</t>
  </si>
  <si>
    <t xml:space="preserve">                        Total Accumulated Depreciation of Machinery, Furniture and Equipment</t>
  </si>
  <si>
    <t xml:space="preserve">                    Accumulated Depreciation of Construction in Progress</t>
  </si>
  <si>
    <t xml:space="preserve">                    Accumulated Depreciation of Other Property, Plant and Equipment</t>
  </si>
  <si>
    <t xml:space="preserve">                    Total Accumulated Depreciation</t>
  </si>
  <si>
    <t xml:space="preserve">                Accumulated Impairment of PPE</t>
  </si>
  <si>
    <t xml:space="preserve">                Total Accumulated Depreciation and Impairment</t>
  </si>
  <si>
    <t xml:space="preserve">            Total Net Property, Plant and Equipment</t>
  </si>
  <si>
    <t xml:space="preserve">        Investment Properties and Properties Held for Development</t>
  </si>
  <si>
    <t xml:space="preserve">        Net Intangible Assets</t>
  </si>
  <si>
    <t xml:space="preserve">            Gross Goodwill and Other Intangible Assets</t>
  </si>
  <si>
    <t xml:space="preserve">                Goodwill</t>
  </si>
  <si>
    <t xml:space="preserve">                Intangibles other than Goodwill</t>
  </si>
  <si>
    <t xml:space="preserve">                    Trademarks and Patents</t>
  </si>
  <si>
    <t xml:space="preserve">                    Customer Relationships</t>
  </si>
  <si>
    <t xml:space="preserve">                    Total Intangibles other than Goodwill</t>
  </si>
  <si>
    <t xml:space="preserve">                Total Gross Goodwill and Other Intangible Assets</t>
  </si>
  <si>
    <t xml:space="preserve">            Accumulated Amortization and Impairment</t>
  </si>
  <si>
    <t xml:space="preserve">                Accumulated Amortization of Intangible Assets</t>
  </si>
  <si>
    <t xml:space="preserve">                    Accumulated Amortization of Intangibles other than Goodwill</t>
  </si>
  <si>
    <t xml:space="preserve">                        Accumulated Amortization of Trademarks and Patents</t>
  </si>
  <si>
    <t xml:space="preserve">                        Accumulated Amortization of Customer Relationships</t>
  </si>
  <si>
    <t xml:space="preserve">                        Total Accumulated Amortization of Intangibles other than Goodwill</t>
  </si>
  <si>
    <t xml:space="preserve">                    Total Accumulated Amortization of Intangible Assets</t>
  </si>
  <si>
    <t xml:space="preserve">                Accumulated Impairment of Intangible Assets</t>
  </si>
  <si>
    <t xml:space="preserve">                    Accumulated Impairment of Goodwill</t>
  </si>
  <si>
    <t xml:space="preserve">                    Total Accumulated Impairment of Intangible Assets</t>
  </si>
  <si>
    <t xml:space="preserve">                Total Accumulated Amortization and Impairment</t>
  </si>
  <si>
    <t xml:space="preserve">            Total Net Intangible Assets</t>
  </si>
  <si>
    <t xml:space="preserve">        Biological Assets</t>
  </si>
  <si>
    <t xml:space="preserve">        Long Term Investments</t>
  </si>
  <si>
    <t xml:space="preserve">            Long Term Equity Investments</t>
  </si>
  <si>
    <t xml:space="preserve">                Investments in Associates</t>
  </si>
  <si>
    <t xml:space="preserve">                Total Long Term Equity Investments</t>
  </si>
  <si>
    <t xml:space="preserve">            Investment in Financial Assets, Non-Current</t>
  </si>
  <si>
    <t xml:space="preserve">                Financial Assets Designated as Fair Value Through Profit or Loss, Non-Current</t>
  </si>
  <si>
    <t xml:space="preserve">                Other Financial Assets, Non-Current</t>
  </si>
  <si>
    <t xml:space="preserve">                Total Investment in Financial Assets, Non-Current</t>
  </si>
  <si>
    <t xml:space="preserve">            Total Long Term Investments</t>
  </si>
  <si>
    <t xml:space="preserve">        Deferred Tax Assets, Non-Current</t>
  </si>
  <si>
    <t xml:space="preserve">        Total Non-Current Assets</t>
  </si>
  <si>
    <t xml:space="preserve">    Total Assets</t>
  </si>
  <si>
    <t>Liabilities</t>
  </si>
  <si>
    <t xml:space="preserve">    Current Liabilities</t>
  </si>
  <si>
    <t xml:space="preserve">        Payables and Accrued Expenses, Current</t>
  </si>
  <si>
    <t xml:space="preserve">            Trade and Other Payables, Current</t>
  </si>
  <si>
    <t xml:space="preserve">                Trade/Accounts Payable, Current</t>
  </si>
  <si>
    <t xml:space="preserve">                Taxes Payable, Current</t>
  </si>
  <si>
    <t xml:space="preserve">                    Income Tax Payable, Current</t>
  </si>
  <si>
    <t xml:space="preserve">                    Total Taxes Payable, Current</t>
  </si>
  <si>
    <t xml:space="preserve">                Other Payable, Current</t>
  </si>
  <si>
    <t xml:space="preserve">                Total Trade and Other Payables, Current</t>
  </si>
  <si>
    <t xml:space="preserve">            Accrued Expenses, Current</t>
  </si>
  <si>
    <t xml:space="preserve">            Total Payables and Accrued Expenses, Current</t>
  </si>
  <si>
    <t xml:space="preserve">        Financial Liabilities, Current</t>
  </si>
  <si>
    <t xml:space="preserve">            Current Debt and Capital Lease Obligation</t>
  </si>
  <si>
    <t xml:space="preserve">                Current Debt</t>
  </si>
  <si>
    <t xml:space="preserve">                    Bank/Credit Facilities, Current Debt</t>
  </si>
  <si>
    <t xml:space="preserve">                    Notes Payable, Current Debt</t>
  </si>
  <si>
    <t xml:space="preserve">                    Total Current Debt</t>
  </si>
  <si>
    <t xml:space="preserve">                Current Portion of Long Term Debt and Capital Lease</t>
  </si>
  <si>
    <t xml:space="preserve">                    Current Portion of Long Term Debt</t>
  </si>
  <si>
    <t xml:space="preserve">                        Bank/Institutional Loans, Current Portion of LT Debt</t>
  </si>
  <si>
    <t xml:space="preserve">                        Total Current Portion of Long Term Debt</t>
  </si>
  <si>
    <t xml:space="preserve">                    Capital Lease Obligations, Current</t>
  </si>
  <si>
    <t xml:space="preserve">                    Total Current Portion of Long Term Debt and Capital Lease</t>
  </si>
  <si>
    <t xml:space="preserve">                Total Current Debt and Capital Lease Obligation</t>
  </si>
  <si>
    <t xml:space="preserve">            Derivative and Hedging Liabilities, Current</t>
  </si>
  <si>
    <t xml:space="preserve">            Total Financial Liabilities, Current</t>
  </si>
  <si>
    <t xml:space="preserve">        Deferred Liabilities, Current</t>
  </si>
  <si>
    <t xml:space="preserve">            Deferred Income/Customer Advances/Billings in Excess of Cost, Current</t>
  </si>
  <si>
    <t xml:space="preserve">            Total Deferred Liabilities, Current</t>
  </si>
  <si>
    <t xml:space="preserve">        Total Current Liabilities</t>
  </si>
  <si>
    <t xml:space="preserve">    Non-Current Liabilities</t>
  </si>
  <si>
    <t xml:space="preserve">        Financial Liabilities, Non-Current</t>
  </si>
  <si>
    <t xml:space="preserve">            Long Term Debt and Capital Lease Obligation</t>
  </si>
  <si>
    <t xml:space="preserve">                Long Term Debt</t>
  </si>
  <si>
    <t xml:space="preserve">                    Notes Payables, Non-Current</t>
  </si>
  <si>
    <t xml:space="preserve">                    Bank/Institutional Loans, Non-Current</t>
  </si>
  <si>
    <t xml:space="preserve">                    Total Long Term Debt</t>
  </si>
  <si>
    <t xml:space="preserve">                Capital Lease Obligations, Non-Current</t>
  </si>
  <si>
    <t xml:space="preserve">                Total Long Term Debt and Capital Lease Obligation</t>
  </si>
  <si>
    <t xml:space="preserve">            Total Financial Liabilities, Non-Current</t>
  </si>
  <si>
    <t xml:space="preserve">        Provisions, Non-Current</t>
  </si>
  <si>
    <t xml:space="preserve">        Tax Liabilities, Non-Current</t>
  </si>
  <si>
    <t xml:space="preserve">            Deferred Tax Liabilities, Non-Current</t>
  </si>
  <si>
    <t xml:space="preserve">            Total Tax Liabilities, Non-Current</t>
  </si>
  <si>
    <t xml:space="preserve">        Total Non-Current Liabilities</t>
  </si>
  <si>
    <t xml:space="preserve">    Total Liabilities</t>
  </si>
  <si>
    <t>Equity</t>
  </si>
  <si>
    <t xml:space="preserve">    Equity Attributable to Parent Stockholders</t>
  </si>
  <si>
    <t xml:space="preserve">        Paid in Capital</t>
  </si>
  <si>
    <t xml:space="preserve">            Capital Stock</t>
  </si>
  <si>
    <t xml:space="preserve">                Common Stock</t>
  </si>
  <si>
    <t xml:space="preserve">                Total Capital Stock</t>
  </si>
  <si>
    <t xml:space="preserve">            Treasury Stock</t>
  </si>
  <si>
    <t xml:space="preserve">            Total Paid in Capital</t>
  </si>
  <si>
    <t xml:space="preserve">        Stock Options/Warrants/DeferredShares/ConvertibleDebentures</t>
  </si>
  <si>
    <t xml:space="preserve">        Retained Earnings/Accumulated Deficit</t>
  </si>
  <si>
    <t xml:space="preserve">        Reserves/Accumulated Comprehensive Income/Losses</t>
  </si>
  <si>
    <t xml:space="preserve">            Fixed Assets Revaluation Reserve</t>
  </si>
  <si>
    <t xml:space="preserve">            Other Reserves/Accum. Comp. Inc</t>
  </si>
  <si>
    <t xml:space="preserve">            Cumulative Foreign Exchange Translation Reserves/Accum. Comp. Inc</t>
  </si>
  <si>
    <t xml:space="preserve">            Available for Sale Financial Investments Reserves/Accum. Comp. Inc</t>
  </si>
  <si>
    <t xml:space="preserve">            Gain/Loss from Cash Flow Hedges Reserves/Accum. Comp. Inc</t>
  </si>
  <si>
    <t xml:space="preserve">            Total Reserves/Accumulated Comprehensive Income/Losses</t>
  </si>
  <si>
    <t xml:space="preserve">        Equity Attributable to Holders of Perpetual Capital Securities</t>
  </si>
  <si>
    <t xml:space="preserve">        Total Equity Attributable to Parent Stockholders</t>
  </si>
  <si>
    <t xml:space="preserve">    Non-Controlling/Minority Interests</t>
  </si>
  <si>
    <t xml:space="preserve">    Total Equity</t>
  </si>
  <si>
    <t>Balance Sheet Supplemental Section</t>
  </si>
  <si>
    <t xml:space="preserve">    Common Shares Issued</t>
  </si>
  <si>
    <t xml:space="preserve">        Common Shares Outstanding</t>
  </si>
  <si>
    <t xml:space="preserve">        Common Shares Treasury</t>
  </si>
  <si>
    <t xml:space="preserve">        Total Common Shares Issued</t>
  </si>
  <si>
    <t>Total Maturity Schedule</t>
  </si>
  <si>
    <t xml:space="preserve">    Debt Maturity Schedule</t>
  </si>
  <si>
    <t xml:space="preserve">        Debt due in Year 1</t>
  </si>
  <si>
    <t xml:space="preserve">        Debt due in Year 2</t>
  </si>
  <si>
    <t xml:space="preserve">        Debt due in Year 5</t>
  </si>
  <si>
    <t xml:space="preserve">        Debt - Interests Charges and Other Adjustments</t>
  </si>
  <si>
    <t xml:space="preserve">        Total Debt Maturity Schedule</t>
  </si>
  <si>
    <t xml:space="preserve">    Capital Lease Obligation Maturity Schedule</t>
  </si>
  <si>
    <t xml:space="preserve">        Capital Lease due in Year 1</t>
  </si>
  <si>
    <t xml:space="preserve">        Capital Lease due in Year 5</t>
  </si>
  <si>
    <t xml:space="preserve">        Capital Lease due Beyond</t>
  </si>
  <si>
    <t xml:space="preserve">        Capital Lease - Interests Charges and Other Adjustments</t>
  </si>
  <si>
    <t xml:space="preserve">        Total Capital Lease Obligation Maturity Schedule</t>
  </si>
  <si>
    <t xml:space="preserve">    Lease Liability</t>
  </si>
  <si>
    <t xml:space="preserve">        Total Lease Liability - Due in year 1</t>
  </si>
  <si>
    <t xml:space="preserve">        Total Lease Liability - Due in year 5</t>
  </si>
  <si>
    <t xml:space="preserve">        Total Lease Liability - Beyond</t>
  </si>
  <si>
    <t xml:space="preserve">        Total Lease Liability - Interest Charges and Other Adjustments</t>
  </si>
  <si>
    <t xml:space="preserve">        Total Lease Liability</t>
  </si>
  <si>
    <t xml:space="preserve">    Contractual Obligations</t>
  </si>
  <si>
    <t xml:space="preserve">        Total Contractual Obligations due in year 1</t>
  </si>
  <si>
    <t xml:space="preserve">        Total Contractual Obligations due in year 2</t>
  </si>
  <si>
    <t xml:space="preserve">        Total Contractual Obligations due in year 5</t>
  </si>
  <si>
    <t xml:space="preserve">        Total Contractual Obligations due Beyond</t>
  </si>
  <si>
    <t xml:space="preserve">        Total Contractual Obligations - Interests Charges and Other Adjustments</t>
  </si>
  <si>
    <t xml:space="preserve">        Total Contractual Obligations</t>
  </si>
  <si>
    <t>Financial Health Metrics</t>
  </si>
  <si>
    <t xml:space="preserve">    Total Debt</t>
  </si>
  <si>
    <t xml:space="preserve">    Net Debt</t>
  </si>
  <si>
    <t xml:space="preserve">    Total Capital Lease Obligations</t>
  </si>
  <si>
    <t xml:space="preserve">    Common Equity Book Value</t>
  </si>
  <si>
    <t xml:space="preserve">    Total Liabilities &amp; Equity</t>
  </si>
  <si>
    <t xml:space="preserve">    Net Tangible Assets</t>
  </si>
  <si>
    <t xml:space="preserve">    Tangible Book Value</t>
  </si>
  <si>
    <t xml:space="preserve">    Working Capital</t>
  </si>
  <si>
    <t xml:space="preserve">    Invested Capital</t>
  </si>
  <si>
    <t xml:space="preserve">    Total Shares Outstanding (TSO)</t>
  </si>
  <si>
    <t xml:space="preserve">    Number of Employees</t>
  </si>
  <si>
    <t>Per Share Calculations</t>
  </si>
  <si>
    <t xml:space="preserve">    Book Value per Share</t>
  </si>
  <si>
    <t xml:space="preserve">    Cash And Cash Equivalents per Share</t>
  </si>
  <si>
    <t xml:space="preserve">    Cash, Cash Equivalents And Short Term Investments per Share</t>
  </si>
  <si>
    <t xml:space="preserve">    Net Intangible Assets per Share</t>
  </si>
  <si>
    <t xml:space="preserve">    Total Asset per Share</t>
  </si>
  <si>
    <t>Data Origination</t>
  </si>
  <si>
    <t xml:space="preserve">    Preliminary</t>
  </si>
  <si>
    <t>No</t>
  </si>
  <si>
    <t xml:space="preserve">    Original</t>
  </si>
  <si>
    <t xml:space="preserve">    Restated</t>
  </si>
  <si>
    <t>Yes</t>
  </si>
  <si>
    <t xml:space="preserve">    Calculated</t>
  </si>
  <si>
    <t xml:space="preserve">CASH FLOW STATEMENT </t>
  </si>
  <si>
    <t>Cash Flow from Operating Activities, Indirect</t>
  </si>
  <si>
    <t xml:space="preserve">    Net Cash Flow from Continuing Operating Activities, Indirect</t>
  </si>
  <si>
    <t xml:space="preserve">        Cash Generated from Operating Activities</t>
  </si>
  <si>
    <t xml:space="preserve">            Income/(Loss) before Non-Cash Adjustment</t>
  </si>
  <si>
    <t xml:space="preserve">            Adjustments for Non-Cash Items</t>
  </si>
  <si>
    <t xml:space="preserve">                Depreciation, Amortization and Depletion, Non-Cash Adjustment</t>
  </si>
  <si>
    <t xml:space="preserve">                    Depreciation and Amortization, Non-Cash Adjustment</t>
  </si>
  <si>
    <t xml:space="preserve">                        Depreciation, Non-Cash Adjustment</t>
  </si>
  <si>
    <t xml:space="preserve">                        Amortization, Non-Cash Adjustment</t>
  </si>
  <si>
    <t xml:space="preserve">                        Total Depreciation and Amortization, Non-Cash Adjustment</t>
  </si>
  <si>
    <t xml:space="preserve">                    Total Depreciation, Amortization and Depletion, Non-Cash Adjustment</t>
  </si>
  <si>
    <t xml:space="preserve">                Stock-Based Compensation, Non-Cash Adjustment</t>
  </si>
  <si>
    <t xml:space="preserve">                Interest and Finance (Income)/Expenses, Non-Cash Adjustment</t>
  </si>
  <si>
    <t xml:space="preserve">                Other Provisions, Non-Cash Adjustment</t>
  </si>
  <si>
    <t xml:space="preserve">                Net Investment (Income)/Loss, Non-Cash Adjustment</t>
  </si>
  <si>
    <t xml:space="preserve">                    Dividend and Interest Income, Non-Cash Adjustment</t>
  </si>
  <si>
    <t xml:space="preserve">                    (Gain)/Loss on Financial Instruments, Non-Cash Adjustment</t>
  </si>
  <si>
    <t xml:space="preserve">                    Unrealized (Gain)/Loss on Financial Instruments, Non-Cash Adjustment</t>
  </si>
  <si>
    <t xml:space="preserve">                    (Gain)/Loss on Derivatives, Non-Cash Adjustment</t>
  </si>
  <si>
    <t xml:space="preserve">                    (Gain)/Loss on Investment Properties, Non-Cash Adjustment</t>
  </si>
  <si>
    <t xml:space="preserve">                    Unrealized (Gain)/Loss on Investment Properties, Non-Cash Adjustment</t>
  </si>
  <si>
    <t xml:space="preserve">                    Share of (Profit)/Loss from Associates, Joint Ventures and other Equity Investments, Non-Cash Adjustment</t>
  </si>
  <si>
    <t xml:space="preserve">                    Net Foreign Exchange (Gain)/Loss, Non-Cash Adjustment</t>
  </si>
  <si>
    <t xml:space="preserve">                    Total Net Investment (Income)/Loss, Non-Cash Adjustment</t>
  </si>
  <si>
    <t xml:space="preserve">                Irregular (Income)/Loss, Non-Cash Adjustment</t>
  </si>
  <si>
    <t xml:space="preserve">                    (Gain)/Loss on Disposals, Non-Cash Adjustment</t>
  </si>
  <si>
    <t xml:space="preserve">                        (Gain)/Loss on Disposal/Sale of Fixed Assets, Non-Cash Adjustment</t>
  </si>
  <si>
    <t xml:space="preserve">                        (Gain)/Loss on Disposal/Sale of Other Assets, Non-Cash Adjustment</t>
  </si>
  <si>
    <t xml:space="preserve">                        Total (Gain)/Loss on Disposals, Non-Cash Adjustment</t>
  </si>
  <si>
    <t xml:space="preserve">                    Impairment/Write Off/Write Down of Capital Assets Loss/Reversal, Non-Cash Adjustment</t>
  </si>
  <si>
    <t xml:space="preserve">                    Impairment/Write Off/Write Down of Other Assets, Non-Cash Adjustment</t>
  </si>
  <si>
    <t xml:space="preserve">                    Impairment of Goodwill, Non-Cash Adjustment</t>
  </si>
  <si>
    <t xml:space="preserve">                    Other Irregular (Income)/Loss, Non-Cash Adjustment</t>
  </si>
  <si>
    <t xml:space="preserve">                    Total Irregular (Income)/Loss, Non-Cash Adjustment</t>
  </si>
  <si>
    <t xml:space="preserve">                Other Non-Cash Items</t>
  </si>
  <si>
    <t xml:space="preserve">                Total Adjustments for Non-Cash Items</t>
  </si>
  <si>
    <t xml:space="preserve">            Changes in Operating Capital</t>
  </si>
  <si>
    <t xml:space="preserve">                Change in Inventories</t>
  </si>
  <si>
    <t xml:space="preserve">                Change in Trade and Other Receivables</t>
  </si>
  <si>
    <t xml:space="preserve">                Change in Other Current Assets</t>
  </si>
  <si>
    <t xml:space="preserve">                Change in Payables and Accrued Expenses</t>
  </si>
  <si>
    <t xml:space="preserve">                    Change in Trade and Other Payables</t>
  </si>
  <si>
    <t xml:space="preserve">                    Total Change in Payables and Accrued Expenses</t>
  </si>
  <si>
    <t xml:space="preserve">                Change in Deferred Assets/Liabilities</t>
  </si>
  <si>
    <t xml:space="preserve">                Change in Other Current Liabilities</t>
  </si>
  <si>
    <t xml:space="preserve">                Total Changes in Operating Capital</t>
  </si>
  <si>
    <t xml:space="preserve">            Total Cash Generated from Operating Activities</t>
  </si>
  <si>
    <t xml:space="preserve">        Interest Paid, CFO Indirect</t>
  </si>
  <si>
    <t xml:space="preserve">        Taxes Refund/(Paid), Indirect</t>
  </si>
  <si>
    <t xml:space="preserve">        Total Net Cash Flow from Continuing Operating Activities, Indirect</t>
  </si>
  <si>
    <t xml:space="preserve">    Total Cash Flow from Operating Activities, Indirect</t>
  </si>
  <si>
    <t>Cash Flow from Investing Activities</t>
  </si>
  <si>
    <t xml:space="preserve">    Cash Flow from Continuing Investing Activities</t>
  </si>
  <si>
    <t xml:space="preserve">        Capital Expenditure, Reported</t>
  </si>
  <si>
    <t xml:space="preserve">        Payment for Loan Granted and Repayments Received, Net</t>
  </si>
  <si>
    <t xml:space="preserve">            Cash Receipts from Repayment of Advances and Loans Made to Other Parties</t>
  </si>
  <si>
    <t xml:space="preserve">            Total Payment for Loan Granted and Repayments Received, Net</t>
  </si>
  <si>
    <t xml:space="preserve">        (Purchase)/Sale and Disposal of Property, Plant and Equipment, Net</t>
  </si>
  <si>
    <t xml:space="preserve">            Purchase of Property, Plant and Equipment</t>
  </si>
  <si>
    <t xml:space="preserve">            Sale and Disposal of Property, Plant and Equipment</t>
  </si>
  <si>
    <t xml:space="preserve">            Total (Purchase)/Sale and Disposal of Property, Plant and Equipment, Net</t>
  </si>
  <si>
    <t xml:space="preserve">        (Purchase)/Sale of Intangibles, Net</t>
  </si>
  <si>
    <t xml:space="preserve">            Purchase of Intangibles</t>
  </si>
  <si>
    <t xml:space="preserve">            Total (Purchase)/Sale of Intangibles, Net</t>
  </si>
  <si>
    <t xml:space="preserve">        (Purchase)/Sale of Business, Net</t>
  </si>
  <si>
    <t xml:space="preserve">            Purchase/Acquisition of Business</t>
  </si>
  <si>
    <t xml:space="preserve">            Sale of Business</t>
  </si>
  <si>
    <t xml:space="preserve">            Total (Purchase)/Sale of Business, Net</t>
  </si>
  <si>
    <t xml:space="preserve">        (Purchase)/Sale of Investment Properties, Net</t>
  </si>
  <si>
    <t xml:space="preserve">            Purchase of Investment Properties</t>
  </si>
  <si>
    <t xml:space="preserve">            Sale of Investment Properties</t>
  </si>
  <si>
    <t xml:space="preserve">            Total (Purchase)/Sale of Investment Properties, Net</t>
  </si>
  <si>
    <t xml:space="preserve">        (Purchase)/Sale of Investments, Net</t>
  </si>
  <si>
    <t xml:space="preserve">            Purchase of Investments</t>
  </si>
  <si>
    <t xml:space="preserve">            Sale of Investments</t>
  </si>
  <si>
    <t xml:space="preserve">            Total (Purchase)/Sale of Investments, Net</t>
  </si>
  <si>
    <t xml:space="preserve">        (Purchase)/Sale of Other Non-Current Assets, Net</t>
  </si>
  <si>
    <t xml:space="preserve">            Sales of Other Non-Current Assets</t>
  </si>
  <si>
    <t xml:space="preserve">            Total (Purchase)/Sale of Other Non-Current Assets, Net</t>
  </si>
  <si>
    <t xml:space="preserve">        Change in Restricted Cash and Cash Equivalents</t>
  </si>
  <si>
    <t xml:space="preserve">        Dividends Received/(Paid), CFI</t>
  </si>
  <si>
    <t xml:space="preserve">        Interest Received/(Paid), CFI</t>
  </si>
  <si>
    <t xml:space="preserve">        Other Investing Cash Flow</t>
  </si>
  <si>
    <t xml:space="preserve">        Total Cash Flow from Continuing Investing Activities</t>
  </si>
  <si>
    <t xml:space="preserve">    Total Cash Flow from Investing Activities</t>
  </si>
  <si>
    <t>Cash Flow from Financing Activities</t>
  </si>
  <si>
    <t xml:space="preserve">    Cash Flow from Continuing Financing Activities</t>
  </si>
  <si>
    <t xml:space="preserve">        Issuance of/(Payments for) Common Stock, Net</t>
  </si>
  <si>
    <t xml:space="preserve">            Proceeds from Issuance of Common Stock</t>
  </si>
  <si>
    <t xml:space="preserve">            Payments for Common Stock</t>
  </si>
  <si>
    <t xml:space="preserve">            Total Issuance of/(Payments for) Common Stock, Net</t>
  </si>
  <si>
    <t xml:space="preserve">        Issuance of/(Repayments for) Debt, Net</t>
  </si>
  <si>
    <t xml:space="preserve">            Issuance of/(Repayments for) Short Term Debt, Net</t>
  </si>
  <si>
    <t xml:space="preserve">                Repayments for Short Term Debt</t>
  </si>
  <si>
    <t xml:space="preserve">                Total Issuance of/(Repayments for) Short Term Debt, Net</t>
  </si>
  <si>
    <t xml:space="preserve">            Issuance of/(Repayments for) Long Term Debt, Net</t>
  </si>
  <si>
    <t xml:space="preserve">                Proceeds from Issuance of Long Term Debt</t>
  </si>
  <si>
    <t xml:space="preserve">                Repayments for Long Term Debt</t>
  </si>
  <si>
    <t xml:space="preserve">                Total Issuance of/(Repayments for) Long Term Debt, Net</t>
  </si>
  <si>
    <t xml:space="preserve">            Total Issuance of/(Repayments for) Debt, Net</t>
  </si>
  <si>
    <t xml:space="preserve">        Issuance of/(Repayments for) Lease Financing</t>
  </si>
  <si>
    <t xml:space="preserve">            Repayments for Lease Financing</t>
  </si>
  <si>
    <t xml:space="preserve">            Total Issuance of/(Repayments for) Lease Financing</t>
  </si>
  <si>
    <t xml:space="preserve">        Net Movement in Non-Controlling/Minority Interest</t>
  </si>
  <si>
    <t xml:space="preserve">        Issue and Financing Costs</t>
  </si>
  <si>
    <t xml:space="preserve">            Share Issuance Costs</t>
  </si>
  <si>
    <t xml:space="preserve">            Total Issue and Financing Costs</t>
  </si>
  <si>
    <t xml:space="preserve">        Cash Dividends and Interest Paid</t>
  </si>
  <si>
    <t xml:space="preserve">            Cash Dividends Paid</t>
  </si>
  <si>
    <t xml:space="preserve">                Common Stock Dividends Paid</t>
  </si>
  <si>
    <t xml:space="preserve">                Total Cash Dividends Paid</t>
  </si>
  <si>
    <t xml:space="preserve">            Total Cash Dividends and Interest Paid</t>
  </si>
  <si>
    <t xml:space="preserve">        Cash Dividends Paid to Non-Controlling/Minority Interests</t>
  </si>
  <si>
    <t xml:space="preserve">        Proceeds from Issuance/Exercising of Stock Options/Warrants</t>
  </si>
  <si>
    <t xml:space="preserve">        Other Financing Cash Flow</t>
  </si>
  <si>
    <t xml:space="preserve">        Total Cash Flow from Continuing Financing Activities</t>
  </si>
  <si>
    <t xml:space="preserve">    Total Cash Flow from Financing Activities</t>
  </si>
  <si>
    <t>Cash and Cash Equivalents, End of Period</t>
  </si>
  <si>
    <t xml:space="preserve">    Change in Cash</t>
  </si>
  <si>
    <t xml:space="preserve">    Effect of Exchange Rate Changes</t>
  </si>
  <si>
    <t xml:space="preserve">    Cash and Cash Equivalents, Beginning of Period</t>
  </si>
  <si>
    <t xml:space="preserve">    Total Cash and Cash Equivalents, End of Period</t>
  </si>
  <si>
    <t>Cash Flow Supplemental Section</t>
  </si>
  <si>
    <t xml:space="preserve">    Change in Cash As Reported, Supplemental</t>
  </si>
  <si>
    <t>Cash Flow Metrics</t>
  </si>
  <si>
    <t xml:space="preserve">    FCF to Firm (FCFF)</t>
  </si>
  <si>
    <t xml:space="preserve">    FCF to Equityholders (FCFE)</t>
  </si>
  <si>
    <t xml:space="preserve">    Issuance of Capital Stock</t>
  </si>
  <si>
    <t xml:space="preserve">    Issuance of Debt</t>
  </si>
  <si>
    <t xml:space="preserve">    Repayment of Debt</t>
  </si>
  <si>
    <t xml:space="preserve">    Repurchase of Capital Stock</t>
  </si>
  <si>
    <t xml:space="preserve">    FCF to CFO Ratio</t>
  </si>
  <si>
    <t xml:space="preserve">    Free Cash Flow per Share</t>
  </si>
  <si>
    <t xml:space="preserve">    Operating Cash Flow per Share</t>
  </si>
  <si>
    <t>3-STATEMENT FINANCIAL MODEL</t>
  </si>
  <si>
    <t>Top Glove Corporation (Amounts in Thousands, MYR)</t>
  </si>
  <si>
    <t>ASSUMPTIONS</t>
  </si>
  <si>
    <t>Base Year</t>
  </si>
  <si>
    <t>Year 1</t>
  </si>
  <si>
    <t>Year 2</t>
  </si>
  <si>
    <t>Year 3</t>
  </si>
  <si>
    <t>Year 4</t>
  </si>
  <si>
    <t>Year 5</t>
  </si>
  <si>
    <t>FY 2026</t>
  </si>
  <si>
    <t>FY 2027</t>
  </si>
  <si>
    <t>FY 2028</t>
  </si>
  <si>
    <t>FY 2029</t>
  </si>
  <si>
    <t>Revenue Growth Rate</t>
  </si>
  <si>
    <t>Gross Profit Margin</t>
  </si>
  <si>
    <t>EBITDA Margin</t>
  </si>
  <si>
    <t>Existing PPE (Base)</t>
  </si>
  <si>
    <t>Existing PPE Useful Life (years)</t>
  </si>
  <si>
    <t>Existing PPE Annual Depreciation</t>
  </si>
  <si>
    <t>Replacement Capex (% of Revenue)</t>
  </si>
  <si>
    <t>New Capex Useful Life (years)</t>
  </si>
  <si>
    <t>Tax Rate</t>
  </si>
  <si>
    <t>Inventory Turnover Days</t>
  </si>
  <si>
    <t>Receivable Turnover Days</t>
  </si>
  <si>
    <t>Payable Turnover Days</t>
  </si>
  <si>
    <t>Opening Debt (Total)</t>
  </si>
  <si>
    <t>Interest Rate on Debt</t>
  </si>
  <si>
    <t>Minimum Cash Balance</t>
  </si>
  <si>
    <t>INCOME STATEMENT</t>
  </si>
  <si>
    <t>Revenue</t>
  </si>
  <si>
    <t>Cost of Revenue</t>
  </si>
  <si>
    <t>EBITDA</t>
  </si>
  <si>
    <t>Depreciation &amp; Amortization</t>
  </si>
  <si>
    <t>EBIT</t>
  </si>
  <si>
    <t>Interest Income</t>
  </si>
  <si>
    <t>Profit Before Tax (PBT)</t>
  </si>
  <si>
    <t>Tax Expense</t>
  </si>
  <si>
    <t>Net Income (PAT)</t>
  </si>
  <si>
    <t>BALANCE SHEET</t>
  </si>
  <si>
    <t>ASSETS</t>
  </si>
  <si>
    <t>Cash &amp; Cash Equivalents</t>
  </si>
  <si>
    <t>Accounts Receivable</t>
  </si>
  <si>
    <t>Inventory</t>
  </si>
  <si>
    <t>Total Current Assets</t>
  </si>
  <si>
    <t>Net PP&amp;E</t>
  </si>
  <si>
    <t>Other Non-Current Assets</t>
  </si>
  <si>
    <t>Total Non-Current Assets</t>
  </si>
  <si>
    <t>TOTAL ASSETS</t>
  </si>
  <si>
    <t>LIABILITIES</t>
  </si>
  <si>
    <t>Accounts Payable</t>
  </si>
  <si>
    <t>Other Current Liabilities</t>
  </si>
  <si>
    <t>Total Current Liabilities</t>
  </si>
  <si>
    <t>Total Debt</t>
  </si>
  <si>
    <t>Other Non-Current Liabilities</t>
  </si>
  <si>
    <t>Total Non-Current Liabilities</t>
  </si>
  <si>
    <t>TOTAL LIABILITIES</t>
  </si>
  <si>
    <t>EQUITY</t>
  </si>
  <si>
    <t>Share Capital &amp; Reserves</t>
  </si>
  <si>
    <t>Retained Earnings</t>
  </si>
  <si>
    <t>TOTAL EQUITY</t>
  </si>
  <si>
    <t>TOTAL LIABILITIES + EQUITY</t>
  </si>
  <si>
    <t>Balance Check (Assets - Liabilities - Equity)</t>
  </si>
  <si>
    <t>CASH FLOW STATEMENT</t>
  </si>
  <si>
    <t>Cash Flow from Operations (CFO)</t>
  </si>
  <si>
    <t>Net Income</t>
  </si>
  <si>
    <t>(+) Depreciation &amp; Amortization</t>
  </si>
  <si>
    <t>Changes in Working Capital:</t>
  </si>
  <si>
    <t>(-) Change in Receivables</t>
  </si>
  <si>
    <t>(-) Change in Inventory</t>
  </si>
  <si>
    <t>(+) Change in Payables</t>
  </si>
  <si>
    <t>Net Cash from Operations</t>
  </si>
  <si>
    <t>Cash Flow from Investing (CFI)</t>
  </si>
  <si>
    <t>(-) Capital Expenditure</t>
  </si>
  <si>
    <t>Net Cash from Investing</t>
  </si>
  <si>
    <t>Cash Flow from Financing (CFF)</t>
  </si>
  <si>
    <t>(-) Debt Repayment</t>
  </si>
  <si>
    <t>Net Cash from Financing</t>
  </si>
  <si>
    <t>Net Change in Cash</t>
  </si>
  <si>
    <t>Beginning Cash Balance</t>
  </si>
  <si>
    <t>Ending Cash Balance</t>
  </si>
  <si>
    <t>DCF VALUATION - INCOME APPROACH</t>
  </si>
  <si>
    <t>VALUATION ASSUMPTIONS</t>
  </si>
  <si>
    <t>Weighted Average Cost of Capital (WACC)</t>
  </si>
  <si>
    <t>Terminal Growth Rate</t>
  </si>
  <si>
    <t>assuming growth stabilises after year 5 at 2.5%</t>
  </si>
  <si>
    <t>FREE CASH FLOW CALCULATION</t>
  </si>
  <si>
    <t>(-) Taxes on EBIT</t>
  </si>
  <si>
    <t>NOPAT (EBIT after Tax)</t>
  </si>
  <si>
    <t>(+/-) Change in Working Capital</t>
  </si>
  <si>
    <t>Free Cash Flow to Firm (FCFF)</t>
  </si>
  <si>
    <t>DCF VALUATION</t>
  </si>
  <si>
    <t>Discount Period</t>
  </si>
  <si>
    <t>Discount Factor</t>
  </si>
  <si>
    <t>PV of FCFF</t>
  </si>
  <si>
    <t>Sum of PV of Projected FCFF</t>
  </si>
  <si>
    <t>TERMINAL VALUE (Gordon Growth Model)</t>
  </si>
  <si>
    <t>Terminal Year FCF (Year 5)</t>
  </si>
  <si>
    <t>Terminal Value</t>
  </si>
  <si>
    <t>PV of Terminal Value</t>
  </si>
  <si>
    <t>ENTERPRISE VALUE SUMMARY</t>
  </si>
  <si>
    <t>Sum of PV of Projected FCF (Years 1-5)</t>
  </si>
  <si>
    <t>Enterprise Value (EV)</t>
  </si>
  <si>
    <t>EQUITY VALUE BRIDGE</t>
  </si>
  <si>
    <t>Enterprise Value</t>
  </si>
  <si>
    <t>(-) Total Debt</t>
  </si>
  <si>
    <t>(+) Cash &amp; Cash Equivalents in Base Year</t>
  </si>
  <si>
    <t>Equity Value</t>
  </si>
  <si>
    <t>VALUATION METRICS</t>
  </si>
  <si>
    <t>% of EV from Terminal Value</t>
  </si>
  <si>
    <t>% of EV from Projected FCF</t>
  </si>
  <si>
    <t>Implied EV/Revenue (FY2029)</t>
  </si>
  <si>
    <t>Implied EV/EBITDA (FY2029)</t>
  </si>
  <si>
    <t>MARKET APPROACH VALUATION</t>
  </si>
  <si>
    <t>Comparable Companies Analysis (Amounts in Thousands, MYR)</t>
  </si>
  <si>
    <t>COMPARABLE COMPANIES</t>
  </si>
  <si>
    <t>Company</t>
  </si>
  <si>
    <t>Ticker</t>
  </si>
  <si>
    <t>EV/EBITDA</t>
  </si>
  <si>
    <t>Hartalega Holdings</t>
  </si>
  <si>
    <t>KLS:5168</t>
  </si>
  <si>
    <t>Kossan Rubber Industries</t>
  </si>
  <si>
    <t>KLS:7153</t>
  </si>
  <si>
    <t>Riverstone Resources</t>
  </si>
  <si>
    <t>SES:AP4</t>
  </si>
  <si>
    <t>SuperMax</t>
  </si>
  <si>
    <t>KLS:7106</t>
  </si>
  <si>
    <t>N/A</t>
  </si>
  <si>
    <t>Median EV/EBITDA</t>
  </si>
  <si>
    <t>Mean EV/EBITDA</t>
  </si>
  <si>
    <t>Source: PitchBook (26-Nov-2025)</t>
  </si>
  <si>
    <t>EBITDA (FY2029 - Model)</t>
  </si>
  <si>
    <t>Applied EV/EBITDA Multiple (Median)</t>
  </si>
  <si>
    <t>Implied Enterprise Value</t>
  </si>
  <si>
    <t>(+) Cash &amp; Cash Equivalents</t>
  </si>
  <si>
    <t>COMPARISON WITH DCF VALUATION</t>
  </si>
  <si>
    <t>DCF Enterprise Value</t>
  </si>
  <si>
    <t>Market Comps Enterprise Value</t>
  </si>
  <si>
    <t>Difference</t>
  </si>
  <si>
    <t>% Difference</t>
  </si>
  <si>
    <t xml:space="preserve">*Difference is largely due to variation between WACC &amp; median EV/EBITDA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</si>
</sst>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[Red]\(#,##0\)"/>
    <numFmt numFmtId="165" formatCode="#,##0.00;[Red]\(#,##0.00\)"/>
    <numFmt numFmtId="166" formatCode="[$-409]#,##0.00_);[Red]\(#,##0.00\)"/>
    <numFmt numFmtId="167" formatCode="0.0%"/>
    <numFmt numFmtId="168" formatCode="0.0000"/>
    <numFmt numFmtId="169" formatCode="0.00\x"/>
  </numFmts>
  <fonts count="42">
    <font>
      <sz val="12"/>
      <color theme="1"/>
      <name val="Aptos Narrow"/>
      <scheme val="minor"/>
    </font>
    <font>
      <sz val="8"/>
      <color rgb="FF000000"/>
      <name val="Open Sans"/>
    </font>
    <font>
      <sz val="10"/>
      <color rgb="FF000000"/>
      <name val="Open Sans"/>
    </font>
    <font>
      <b/>
      <sz val="10"/>
      <color rgb="FF000000"/>
      <name val="Open Sans"/>
    </font>
    <font>
      <b/>
      <sz val="10"/>
      <color rgb="FF26649E"/>
      <name val="Open Sans"/>
    </font>
    <font>
      <b/>
      <i/>
      <sz val="14"/>
      <color rgb="FF000000"/>
      <name val="Open Sans"/>
    </font>
    <font>
      <b/>
      <sz val="16"/>
      <color rgb="FF000000"/>
      <name val="Open Sans"/>
    </font>
    <font>
      <b/>
      <sz val="12"/>
      <color theme="1"/>
      <name val="Aptos Narrow"/>
      <scheme val="minor"/>
    </font>
    <font>
      <b/>
      <sz val="10"/>
      <color theme="1"/>
      <name val="Open Sans"/>
    </font>
    <font>
      <sz val="10"/>
      <color theme="1"/>
      <name val="Open Sans"/>
    </font>
    <font>
      <sz val="10"/>
      <color rgb="FFFF0000"/>
      <name val="Open Sans"/>
    </font>
    <font>
      <b/>
      <sz val="10"/>
      <color rgb="FFFF0000"/>
      <name val="Open Sans"/>
    </font>
    <font>
      <b/>
      <sz val="14"/>
      <color rgb="FF1A365D"/>
      <name val="Sans"/>
    </font>
    <font>
      <sz val="10"/>
      <color rgb="FF4A5568"/>
      <name val="Sans"/>
    </font>
    <font>
      <b/>
      <sz val="12"/>
      <color rgb="FFFFFFFF"/>
      <name val="Sans"/>
    </font>
    <font>
      <b/>
      <sz val="10"/>
      <name val="Sans"/>
    </font>
    <font>
      <b/>
      <sz val="10"/>
      <color rgb="FF000000"/>
      <name val="Sans"/>
    </font>
    <font>
      <b/>
      <sz val="10"/>
      <color rgb="FF1A365D"/>
      <name val="Sans"/>
    </font>
    <font>
      <sz val="12"/>
      <color rgb="FF0000FF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FF"/>
      <name val="Aptos Narrow"/>
      <scheme val="minor"/>
    </font>
    <font>
      <sz val="12"/>
      <color theme="1"/>
      <name val="Aptos Narrow"/>
    </font>
    <font>
      <b/>
      <sz val="14"/>
      <color rgb="FF1A365D"/>
      <name val="Sans"/>
    </font>
    <font>
      <sz val="9"/>
      <color theme="1"/>
      <name val="Sans"/>
    </font>
    <font>
      <b/>
      <sz val="11"/>
      <color rgb="FFFFFFFF"/>
      <name val="Sans"/>
    </font>
    <font>
      <sz val="12"/>
      <color rgb="FF0000FF"/>
      <name val="Aptos Narrow"/>
      <family val="2"/>
      <scheme val="minor"/>
    </font>
    <font>
      <i/>
      <sz val="10"/>
      <name val="Calibri"/>
      <family val="2"/>
    </font>
    <font>
      <sz val="12"/>
      <color rgb="FF008000"/>
      <name val="Aptos Narrow"/>
      <family val="2"/>
      <scheme val="minor"/>
    </font>
    <font>
      <b/>
      <sz val="10"/>
      <name val="Sans"/>
    </font>
    <font>
      <sz val="12"/>
      <color rgb="FF000000"/>
      <name val="Aptos Narrow"/>
      <family val="2"/>
      <scheme val="minor"/>
    </font>
    <font>
      <b/>
      <sz val="10"/>
      <color rgb="FF000000"/>
      <name val="Sans"/>
    </font>
    <font>
      <b/>
      <sz val="12"/>
      <name val="Calibri"/>
      <family val="2"/>
    </font>
    <font>
      <i/>
      <sz val="9"/>
      <name val="Calibri"/>
      <family val="2"/>
    </font>
    <font>
      <b/>
      <sz val="12"/>
      <color rgb="FF000000"/>
      <name val="Calibri"/>
      <family val="2"/>
    </font>
    <font>
      <sz val="12"/>
      <name val="Aptos Narrow"/>
      <family val="2"/>
      <scheme val="minor"/>
    </font>
    <font>
      <b/>
      <sz val="11"/>
      <color rgb="FF000000"/>
      <name val="Sans"/>
    </font>
    <font>
      <sz val="10"/>
      <color rgb="FF4A5568"/>
      <name val="Sans"/>
    </font>
    <font>
      <sz val="10"/>
      <name val="Sans"/>
    </font>
    <font>
      <sz val="10"/>
      <color rgb="FF0000FF"/>
      <name val="Sans"/>
    </font>
    <font>
      <i/>
      <sz val="8"/>
      <color theme="1"/>
      <name val="Sans"/>
    </font>
    <font>
      <b/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8F5EF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1A365D"/>
      </patternFill>
    </fill>
    <fill>
      <patternFill patternType="solid">
        <fgColor rgb="FFEDF2F7"/>
      </patternFill>
    </fill>
    <fill>
      <patternFill patternType="solid">
        <fgColor rgb="FFE2E8F0"/>
      </patternFill>
    </fill>
    <fill>
      <patternFill patternType="solid">
        <fgColor rgb="FFE6F3FF"/>
      </patternFill>
    </fill>
    <fill>
      <patternFill patternType="solid">
        <fgColor rgb="FFD4F5D4"/>
      </patternFill>
    </fill>
    <fill>
      <patternFill patternType="solid">
        <fgColor rgb="FFF7FAFC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double">
        <color rgb="FF1A365D"/>
      </top>
      <bottom style="double">
        <color rgb="FF1A365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1A365D"/>
      </top>
      <bottom style="medium">
        <color rgb="FF1A365D"/>
      </bottom>
      <diagonal/>
    </border>
    <border>
      <left/>
      <right/>
      <top style="medium">
        <color rgb="FF228B22"/>
      </top>
      <bottom style="medium">
        <color rgb="FF228B22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1"/>
    <xf numFmtId="0" fontId="1" fillId="0" borderId="1">
      <alignment horizontal="left" vertical="center"/>
    </xf>
    <xf numFmtId="0" fontId="2" fillId="0" borderId="1">
      <alignment horizontal="right" vertical="center"/>
    </xf>
    <xf numFmtId="0" fontId="3" fillId="0" borderId="1">
      <alignment horizontal="right" vertical="center"/>
    </xf>
    <xf numFmtId="0" fontId="2" fillId="0" borderId="1">
      <alignment horizontal="left" vertical="center" indent="1"/>
    </xf>
    <xf numFmtId="0" fontId="3" fillId="0" borderId="1">
      <alignment horizontal="left" vertical="center" indent="1"/>
    </xf>
    <xf numFmtId="0" fontId="3" fillId="0" borderId="1">
      <alignment horizontal="right" vertical="top" wrapText="1"/>
    </xf>
    <xf numFmtId="0" fontId="4" fillId="0" borderId="1">
      <alignment horizontal="right" vertical="top" wrapText="1"/>
    </xf>
    <xf numFmtId="0" fontId="5" fillId="0" borderId="1">
      <alignment horizontal="left" vertical="center"/>
    </xf>
    <xf numFmtId="0" fontId="6" fillId="0" borderId="1">
      <alignment horizontal="left"/>
    </xf>
    <xf numFmtId="0" fontId="1" fillId="0" borderId="1">
      <alignment horizontal="right" vertical="center"/>
    </xf>
  </cellStyleXfs>
  <cellXfs count="111">
    <xf numFmtId="0" fontId="0" fillId="0" borderId="1" xfId="0"/>
    <xf numFmtId="0" fontId="0" fillId="0" borderId="2" xfId="0" applyBorder="1"/>
    <xf numFmtId="0" fontId="5" fillId="0" borderId="1" xfId="8">
      <alignment horizontal="left" vertical="center"/>
    </xf>
    <xf numFmtId="0" fontId="1" fillId="0" borderId="1" xfId="1">
      <alignment horizontal="left" vertical="center"/>
    </xf>
    <xf numFmtId="0" fontId="4" fillId="0" borderId="1" xfId="7">
      <alignment horizontal="right" vertical="top" wrapText="1"/>
    </xf>
    <xf numFmtId="0" fontId="3" fillId="0" borderId="1" xfId="6">
      <alignment horizontal="right" vertical="top" wrapText="1"/>
    </xf>
    <xf numFmtId="0" fontId="1" fillId="0" borderId="1" xfId="10">
      <alignment horizontal="right" vertical="center"/>
    </xf>
    <xf numFmtId="0" fontId="3" fillId="2" borderId="1" xfId="5" applyFill="1">
      <alignment horizontal="left" vertical="center" indent="1"/>
    </xf>
    <xf numFmtId="164" fontId="3" fillId="2" borderId="1" xfId="3" applyNumberFormat="1" applyFill="1">
      <alignment horizontal="right" vertical="center"/>
    </xf>
    <xf numFmtId="0" fontId="2" fillId="0" borderId="1" xfId="4">
      <alignment horizontal="left" vertical="center" indent="1"/>
    </xf>
    <xf numFmtId="164" fontId="2" fillId="0" borderId="1" xfId="2" applyNumberFormat="1">
      <alignment horizontal="right" vertical="center"/>
    </xf>
    <xf numFmtId="0" fontId="3" fillId="3" borderId="1" xfId="5" applyFill="1">
      <alignment horizontal="left" vertical="center" indent="1"/>
    </xf>
    <xf numFmtId="164" fontId="3" fillId="2" borderId="2" xfId="3" applyNumberFormat="1" applyFill="1" applyBorder="1">
      <alignment horizontal="right" vertical="center"/>
    </xf>
    <xf numFmtId="0" fontId="3" fillId="0" borderId="1" xfId="4" applyFont="1">
      <alignment horizontal="left" vertical="center" indent="1"/>
    </xf>
    <xf numFmtId="164" fontId="3" fillId="0" borderId="1" xfId="2" applyNumberFormat="1" applyFont="1">
      <alignment horizontal="right" vertical="center"/>
    </xf>
    <xf numFmtId="164" fontId="7" fillId="0" borderId="1" xfId="0" applyNumberFormat="1" applyFont="1"/>
    <xf numFmtId="164" fontId="0" fillId="0" borderId="1" xfId="0" applyNumberFormat="1"/>
    <xf numFmtId="0" fontId="8" fillId="2" borderId="1" xfId="0" applyFont="1" applyFill="1" applyAlignment="1">
      <alignment horizontal="left" vertical="center"/>
    </xf>
    <xf numFmtId="164" fontId="8" fillId="2" borderId="1" xfId="0" applyNumberFormat="1" applyFont="1" applyFill="1" applyAlignment="1">
      <alignment horizontal="right" vertical="center"/>
    </xf>
    <xf numFmtId="0" fontId="9" fillId="0" borderId="1" xfId="0" applyFont="1" applyAlignment="1">
      <alignment horizontal="left" vertical="center"/>
    </xf>
    <xf numFmtId="164" fontId="9" fillId="0" borderId="1" xfId="0" applyNumberFormat="1" applyFont="1" applyAlignment="1">
      <alignment horizontal="right" vertical="center"/>
    </xf>
    <xf numFmtId="164" fontId="3" fillId="0" borderId="1" xfId="3" applyNumberFormat="1">
      <alignment horizontal="right" vertical="center"/>
    </xf>
    <xf numFmtId="0" fontId="8" fillId="0" borderId="1" xfId="0" applyFont="1" applyAlignment="1">
      <alignment horizontal="left" vertical="center"/>
    </xf>
    <xf numFmtId="164" fontId="8" fillId="0" borderId="2" xfId="0" applyNumberFormat="1" applyFont="1" applyBorder="1" applyAlignment="1">
      <alignment horizontal="right" vertical="center"/>
    </xf>
    <xf numFmtId="164" fontId="3" fillId="0" borderId="2" xfId="3" applyNumberFormat="1" applyBorder="1">
      <alignment horizontal="right" vertical="center"/>
    </xf>
    <xf numFmtId="164" fontId="10" fillId="0" borderId="1" xfId="0" applyNumberFormat="1" applyFont="1" applyAlignment="1">
      <alignment horizontal="right" vertical="center"/>
    </xf>
    <xf numFmtId="164" fontId="11" fillId="0" borderId="2" xfId="0" applyNumberFormat="1" applyFont="1" applyBorder="1" applyAlignment="1">
      <alignment horizontal="right" vertical="center"/>
    </xf>
    <xf numFmtId="165" fontId="3" fillId="0" borderId="1" xfId="3" applyNumberFormat="1">
      <alignment horizontal="right" vertical="center"/>
    </xf>
    <xf numFmtId="165" fontId="2" fillId="0" borderId="1" xfId="2" applyNumberFormat="1">
      <alignment horizontal="right" vertical="center"/>
    </xf>
    <xf numFmtId="165" fontId="3" fillId="0" borderId="2" xfId="3" applyNumberFormat="1" applyBorder="1">
      <alignment horizontal="right" vertical="center"/>
    </xf>
    <xf numFmtId="0" fontId="3" fillId="0" borderId="1" xfId="3">
      <alignment horizontal="right" vertical="center"/>
    </xf>
    <xf numFmtId="0" fontId="2" fillId="0" borderId="1" xfId="2">
      <alignment horizontal="right" vertical="center"/>
    </xf>
    <xf numFmtId="164" fontId="8" fillId="2" borderId="2" xfId="0" applyNumberFormat="1" applyFont="1" applyFill="1" applyBorder="1" applyAlignment="1">
      <alignment horizontal="right" vertical="center"/>
    </xf>
    <xf numFmtId="0" fontId="3" fillId="2" borderId="1" xfId="3" applyFill="1">
      <alignment horizontal="right" vertical="center"/>
    </xf>
    <xf numFmtId="0" fontId="8" fillId="2" borderId="1" xfId="0" applyFont="1" applyFill="1" applyAlignment="1">
      <alignment horizontal="right" vertical="center"/>
    </xf>
    <xf numFmtId="165" fontId="9" fillId="0" borderId="1" xfId="0" applyNumberFormat="1" applyFont="1" applyAlignment="1">
      <alignment horizontal="right" vertical="center"/>
    </xf>
    <xf numFmtId="0" fontId="9" fillId="0" borderId="1" xfId="0" applyFont="1" applyAlignment="1">
      <alignment horizontal="right" vertical="center"/>
    </xf>
    <xf numFmtId="164" fontId="11" fillId="2" borderId="2" xfId="0" applyNumberFormat="1" applyFont="1" applyFill="1" applyBorder="1" applyAlignment="1">
      <alignment horizontal="right" vertical="center"/>
    </xf>
    <xf numFmtId="166" fontId="10" fillId="0" borderId="1" xfId="0" applyNumberFormat="1" applyFont="1" applyAlignment="1">
      <alignment horizontal="right" vertical="center"/>
    </xf>
    <xf numFmtId="165" fontId="10" fillId="0" borderId="1" xfId="0" applyNumberFormat="1" applyFont="1" applyAlignment="1">
      <alignment horizontal="right" vertical="center"/>
    </xf>
    <xf numFmtId="0" fontId="12" fillId="0" borderId="1" xfId="0" applyFont="1" applyAlignment="1">
      <alignment vertical="top"/>
    </xf>
    <xf numFmtId="0" fontId="13" fillId="0" borderId="1" xfId="0" applyFont="1" applyAlignment="1">
      <alignment vertical="top"/>
    </xf>
    <xf numFmtId="0" fontId="14" fillId="4" borderId="1" xfId="0" applyFont="1" applyFill="1" applyAlignment="1">
      <alignment vertical="top"/>
    </xf>
    <xf numFmtId="0" fontId="15" fillId="5" borderId="1" xfId="0" applyFont="1" applyFill="1" applyAlignment="1">
      <alignment horizontal="center" vertical="top"/>
    </xf>
    <xf numFmtId="167" fontId="18" fillId="0" borderId="1" xfId="0" applyNumberFormat="1" applyFont="1" applyAlignment="1">
      <alignment vertical="top"/>
    </xf>
    <xf numFmtId="3" fontId="18" fillId="0" borderId="1" xfId="0" applyNumberFormat="1" applyFont="1" applyAlignment="1">
      <alignment vertical="top"/>
    </xf>
    <xf numFmtId="3" fontId="19" fillId="0" borderId="1" xfId="0" applyNumberFormat="1" applyFont="1" applyAlignment="1">
      <alignment vertical="top"/>
    </xf>
    <xf numFmtId="0" fontId="15" fillId="6" borderId="1" xfId="0" applyFont="1" applyFill="1" applyAlignment="1">
      <alignment vertical="top"/>
    </xf>
    <xf numFmtId="0" fontId="17" fillId="0" borderId="1" xfId="0" applyFont="1" applyAlignment="1">
      <alignment vertical="top"/>
    </xf>
    <xf numFmtId="3" fontId="15" fillId="0" borderId="3" xfId="0" applyNumberFormat="1" applyFont="1" applyBorder="1" applyAlignment="1">
      <alignment vertical="top"/>
    </xf>
    <xf numFmtId="0" fontId="23" fillId="0" borderId="0" xfId="0" applyFont="1" applyBorder="1" applyAlignment="1">
      <alignment vertical="top"/>
    </xf>
    <xf numFmtId="0" fontId="24" fillId="0" borderId="0" xfId="0" applyFont="1" applyBorder="1" applyAlignment="1">
      <alignment vertical="top"/>
    </xf>
    <xf numFmtId="0" fontId="25" fillId="4" borderId="0" xfId="0" applyFont="1" applyFill="1" applyBorder="1" applyAlignment="1">
      <alignment vertical="top"/>
    </xf>
    <xf numFmtId="167" fontId="26" fillId="0" borderId="0" xfId="0" applyNumberFormat="1" applyFont="1" applyBorder="1" applyAlignment="1">
      <alignment vertical="top"/>
    </xf>
    <xf numFmtId="0" fontId="27" fillId="0" borderId="0" xfId="0" applyFont="1" applyBorder="1" applyAlignment="1">
      <alignment vertical="top"/>
    </xf>
    <xf numFmtId="167" fontId="28" fillId="0" borderId="0" xfId="0" applyNumberFormat="1" applyFont="1" applyBorder="1" applyAlignment="1">
      <alignment vertical="top"/>
    </xf>
    <xf numFmtId="0" fontId="29" fillId="5" borderId="0" xfId="0" applyFont="1" applyFill="1" applyBorder="1" applyAlignment="1">
      <alignment horizontal="center" vertical="top"/>
    </xf>
    <xf numFmtId="3" fontId="28" fillId="0" borderId="0" xfId="0" applyNumberFormat="1" applyFont="1" applyBorder="1" applyAlignment="1">
      <alignment vertical="top"/>
    </xf>
    <xf numFmtId="3" fontId="30" fillId="0" borderId="0" xfId="0" applyNumberFormat="1" applyFont="1" applyBorder="1" applyAlignment="1">
      <alignment vertical="top"/>
    </xf>
    <xf numFmtId="0" fontId="29" fillId="0" borderId="0" xfId="0" applyFont="1" applyBorder="1" applyAlignment="1">
      <alignment vertical="top"/>
    </xf>
    <xf numFmtId="3" fontId="31" fillId="0" borderId="4" xfId="0" applyNumberFormat="1" applyFont="1" applyBorder="1" applyAlignment="1">
      <alignment vertical="top"/>
    </xf>
    <xf numFmtId="0" fontId="32" fillId="0" borderId="0" xfId="0" applyFont="1" applyBorder="1" applyAlignment="1">
      <alignment vertical="top"/>
    </xf>
    <xf numFmtId="168" fontId="30" fillId="0" borderId="0" xfId="0" applyNumberFormat="1" applyFont="1" applyBorder="1" applyAlignment="1">
      <alignment vertical="top"/>
    </xf>
    <xf numFmtId="3" fontId="31" fillId="0" borderId="1" xfId="0" applyNumberFormat="1" applyFont="1" applyAlignment="1">
      <alignment vertical="top"/>
    </xf>
    <xf numFmtId="0" fontId="33" fillId="0" borderId="0" xfId="0" applyFont="1" applyBorder="1" applyAlignment="1">
      <alignment vertical="top"/>
    </xf>
    <xf numFmtId="3" fontId="34" fillId="0" borderId="0" xfId="0" applyNumberFormat="1" applyFont="1" applyBorder="1" applyAlignment="1">
      <alignment vertical="top"/>
    </xf>
    <xf numFmtId="0" fontId="35" fillId="0" borderId="0" xfId="0" applyFont="1" applyBorder="1" applyAlignment="1">
      <alignment vertical="top"/>
    </xf>
    <xf numFmtId="0" fontId="35" fillId="0" borderId="1" xfId="0" applyFont="1" applyAlignment="1">
      <alignment vertical="top"/>
    </xf>
    <xf numFmtId="3" fontId="36" fillId="7" borderId="5" xfId="0" applyNumberFormat="1" applyFont="1" applyFill="1" applyBorder="1" applyAlignment="1">
      <alignment vertical="top"/>
    </xf>
    <xf numFmtId="0" fontId="29" fillId="0" borderId="1" xfId="0" applyFont="1" applyAlignment="1">
      <alignment vertical="top"/>
    </xf>
    <xf numFmtId="3" fontId="36" fillId="8" borderId="6" xfId="0" applyNumberFormat="1" applyFont="1" applyFill="1" applyBorder="1" applyAlignment="1">
      <alignment vertical="top"/>
    </xf>
    <xf numFmtId="167" fontId="30" fillId="0" borderId="0" xfId="0" applyNumberFormat="1" applyFont="1" applyBorder="1" applyAlignment="1">
      <alignment vertical="top"/>
    </xf>
    <xf numFmtId="169" fontId="28" fillId="0" borderId="0" xfId="0" applyNumberFormat="1" applyFont="1" applyBorder="1" applyAlignment="1">
      <alignment vertical="top"/>
    </xf>
    <xf numFmtId="0" fontId="37" fillId="0" borderId="0" xfId="0" applyFont="1" applyBorder="1" applyAlignment="1">
      <alignment vertical="top"/>
    </xf>
    <xf numFmtId="0" fontId="29" fillId="5" borderId="7" xfId="0" applyFont="1" applyFill="1" applyBorder="1" applyAlignment="1">
      <alignment horizontal="center" vertical="top"/>
    </xf>
    <xf numFmtId="0" fontId="29" fillId="5" borderId="8" xfId="0" applyFont="1" applyFill="1" applyBorder="1" applyAlignment="1">
      <alignment horizontal="center" vertical="top"/>
    </xf>
    <xf numFmtId="0" fontId="29" fillId="5" borderId="9" xfId="0" applyFont="1" applyFill="1" applyBorder="1" applyAlignment="1">
      <alignment horizontal="center" vertical="top"/>
    </xf>
    <xf numFmtId="0" fontId="38" fillId="0" borderId="10" xfId="0" applyFont="1" applyBorder="1" applyAlignment="1">
      <alignment vertical="top"/>
    </xf>
    <xf numFmtId="0" fontId="38" fillId="0" borderId="11" xfId="0" applyFont="1" applyBorder="1" applyAlignment="1">
      <alignment vertical="top"/>
    </xf>
    <xf numFmtId="169" fontId="39" fillId="0" borderId="12" xfId="0" applyNumberFormat="1" applyFont="1" applyBorder="1" applyAlignment="1">
      <alignment vertical="top"/>
    </xf>
    <xf numFmtId="0" fontId="38" fillId="0" borderId="13" xfId="0" applyFont="1" applyBorder="1" applyAlignment="1">
      <alignment vertical="top"/>
    </xf>
    <xf numFmtId="0" fontId="38" fillId="0" borderId="14" xfId="0" applyFont="1" applyBorder="1" applyAlignment="1">
      <alignment vertical="top"/>
    </xf>
    <xf numFmtId="0" fontId="38" fillId="0" borderId="15" xfId="0" applyFont="1" applyBorder="1" applyAlignment="1">
      <alignment vertical="top"/>
    </xf>
    <xf numFmtId="0" fontId="29" fillId="9" borderId="16" xfId="0" applyFont="1" applyFill="1" applyBorder="1" applyAlignment="1">
      <alignment vertical="top"/>
    </xf>
    <xf numFmtId="0" fontId="29" fillId="9" borderId="17" xfId="0" applyFont="1" applyFill="1" applyBorder="1" applyAlignment="1">
      <alignment vertical="top"/>
    </xf>
    <xf numFmtId="169" fontId="31" fillId="9" borderId="18" xfId="0" applyNumberFormat="1" applyFont="1" applyFill="1" applyBorder="1" applyAlignment="1">
      <alignment vertical="top"/>
    </xf>
    <xf numFmtId="0" fontId="29" fillId="9" borderId="13" xfId="0" applyFont="1" applyFill="1" applyBorder="1" applyAlignment="1">
      <alignment vertical="top"/>
    </xf>
    <xf numFmtId="0" fontId="29" fillId="9" borderId="19" xfId="0" applyFont="1" applyFill="1" applyBorder="1" applyAlignment="1">
      <alignment vertical="top"/>
    </xf>
    <xf numFmtId="169" fontId="31" fillId="9" borderId="15" xfId="0" applyNumberFormat="1" applyFont="1" applyFill="1" applyBorder="1" applyAlignment="1">
      <alignment vertical="top"/>
    </xf>
    <xf numFmtId="0" fontId="40" fillId="0" borderId="0" xfId="0" applyFont="1" applyBorder="1" applyAlignment="1">
      <alignment vertical="top"/>
    </xf>
    <xf numFmtId="169" fontId="30" fillId="0" borderId="0" xfId="0" applyNumberFormat="1" applyFont="1" applyBorder="1" applyAlignment="1">
      <alignment vertical="top"/>
    </xf>
    <xf numFmtId="0" fontId="35" fillId="0" borderId="16" xfId="0" applyFont="1" applyBorder="1" applyAlignment="1">
      <alignment vertical="top"/>
    </xf>
    <xf numFmtId="3" fontId="28" fillId="0" borderId="18" xfId="0" applyNumberFormat="1" applyFont="1" applyBorder="1" applyAlignment="1">
      <alignment vertical="top"/>
    </xf>
    <xf numFmtId="0" fontId="35" fillId="0" borderId="10" xfId="0" applyFont="1" applyBorder="1" applyAlignment="1">
      <alignment vertical="top"/>
    </xf>
    <xf numFmtId="3" fontId="30" fillId="0" borderId="12" xfId="0" applyNumberFormat="1" applyFont="1" applyBorder="1" applyAlignment="1">
      <alignment vertical="top"/>
    </xf>
    <xf numFmtId="0" fontId="35" fillId="0" borderId="13" xfId="0" applyFont="1" applyBorder="1" applyAlignment="1">
      <alignment vertical="top"/>
    </xf>
    <xf numFmtId="167" fontId="41" fillId="0" borderId="15" xfId="0" applyNumberFormat="1" applyFont="1" applyBorder="1" applyAlignment="1">
      <alignment vertical="top"/>
    </xf>
    <xf numFmtId="0" fontId="33" fillId="0" borderId="0" xfId="0" applyFont="1" applyBorder="1" applyAlignment="1">
      <alignment horizontal="left" vertical="top" wrapText="1"/>
    </xf>
    <xf numFmtId="0" fontId="35" fillId="0" borderId="0" xfId="0" applyFont="1" applyBorder="1" applyAlignment="1">
      <alignment horizontal="left" vertical="top" wrapText="1"/>
    </xf>
    <xf numFmtId="0" fontId="0" fillId="0" borderId="20" xfId="0" applyBorder="1"/>
    <xf numFmtId="3" fontId="18" fillId="0" borderId="20" xfId="0" applyNumberFormat="1" applyFont="1" applyBorder="1" applyAlignment="1">
      <alignment vertical="top"/>
    </xf>
    <xf numFmtId="3" fontId="19" fillId="0" borderId="20" xfId="0" applyNumberFormat="1" applyFont="1" applyBorder="1" applyAlignment="1">
      <alignment vertical="top"/>
    </xf>
    <xf numFmtId="0" fontId="15" fillId="0" borderId="20" xfId="0" applyFont="1" applyBorder="1" applyAlignment="1">
      <alignment vertical="top"/>
    </xf>
    <xf numFmtId="3" fontId="16" fillId="0" borderId="20" xfId="0" applyNumberFormat="1" applyFont="1" applyBorder="1" applyAlignment="1">
      <alignment vertical="top"/>
    </xf>
    <xf numFmtId="3" fontId="20" fillId="0" borderId="20" xfId="0" applyNumberFormat="1" applyFont="1" applyBorder="1" applyAlignment="1">
      <alignment vertical="top"/>
    </xf>
    <xf numFmtId="3" fontId="21" fillId="0" borderId="20" xfId="0" applyNumberFormat="1" applyFont="1" applyBorder="1"/>
    <xf numFmtId="3" fontId="0" fillId="0" borderId="20" xfId="0" applyNumberFormat="1" applyBorder="1" applyAlignment="1">
      <alignment horizontal="right"/>
    </xf>
    <xf numFmtId="3" fontId="22" fillId="0" borderId="20" xfId="0" applyNumberFormat="1" applyFont="1" applyBorder="1" applyAlignment="1">
      <alignment horizontal="right"/>
    </xf>
    <xf numFmtId="0" fontId="0" fillId="0" borderId="21" xfId="0" applyBorder="1"/>
    <xf numFmtId="0" fontId="0" fillId="0" borderId="22" xfId="0" applyBorder="1"/>
    <xf numFmtId="0" fontId="15" fillId="6" borderId="20" xfId="0" applyFont="1" applyFill="1" applyBorder="1" applyAlignment="1">
      <alignment vertical="top"/>
    </xf>
  </cellXfs>
  <cellStyles count="11">
    <cellStyle name="defaultStyle" xfId="1" xr:uid="{00000000-0005-0000-0000-000001000000}"/>
    <cellStyle name="fontSize10HorizontalRight" xfId="2" xr:uid="{00000000-0005-0000-0000-000002000000}"/>
    <cellStyle name="fontSize10HorizontalRightBold" xfId="3" xr:uid="{00000000-0005-0000-0000-000003000000}"/>
    <cellStyle name="fontSize10Indent" xfId="4" xr:uid="{00000000-0005-0000-0000-000004000000}"/>
    <cellStyle name="fontSize10IndentBold" xfId="5" xr:uid="{00000000-0005-0000-0000-000005000000}"/>
    <cellStyle name="fontSize10VerticalTopHorizontalRightWrapBold" xfId="6" xr:uid="{00000000-0005-0000-0000-000006000000}"/>
    <cellStyle name="fontSize10VerticalTopHorizontalRightWrapHyperlinkBoldUnderlineSingle" xfId="7" xr:uid="{00000000-0005-0000-0000-000007000000}"/>
    <cellStyle name="fontSize14BoldItalic" xfId="8" xr:uid="{00000000-0005-0000-0000-000008000000}"/>
    <cellStyle name="fontSize16BoldVerticalBottom" xfId="9" xr:uid="{00000000-0005-0000-0000-000009000000}"/>
    <cellStyle name="horizontalRight" xfId="10" xr:uid="{00000000-0005-0000-0000-00000A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y.pitchbook.com/?c=59330-44" TargetMode="External"/><Relationship Id="rId2" Type="http://schemas.openxmlformats.org/officeDocument/2006/relationships/hyperlink" Target="https://my.pitchbook.com/?c=59330-44" TargetMode="External"/><Relationship Id="rId1" Type="http://schemas.openxmlformats.org/officeDocument/2006/relationships/hyperlink" Target="https://my.pitchbook.com/?c=59330-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D33C8-DFD8-1CA8-3798-2AFC0F8AF808}">
  <dimension ref="A1:G386"/>
  <sheetViews>
    <sheetView zoomScale="90" workbookViewId="0">
      <selection activeCell="F20" sqref="F20"/>
    </sheetView>
  </sheetViews>
  <sheetFormatPr baseColWidth="10" defaultColWidth="9" defaultRowHeight="16" customHeight="1"/>
  <cols>
    <col min="1" max="1" width="88.5" customWidth="1"/>
    <col min="2" max="2" width="11.6640625" customWidth="1"/>
  </cols>
  <sheetData>
    <row r="1" spans="1:7" ht="15.75" customHeight="1">
      <c r="A1" s="1"/>
      <c r="B1" s="1"/>
      <c r="C1" s="1"/>
      <c r="D1" s="1"/>
    </row>
    <row r="2" spans="1:7" ht="20.25" customHeight="1">
      <c r="A2" s="2" t="s">
        <v>0</v>
      </c>
    </row>
    <row r="3" spans="1:7" ht="12.75" customHeight="1">
      <c r="A3" s="3" t="s">
        <v>1</v>
      </c>
    </row>
    <row r="4" spans="1:7" ht="15" customHeight="1">
      <c r="A4" s="3" t="s">
        <v>2</v>
      </c>
      <c r="B4" s="4" t="s">
        <v>3</v>
      </c>
      <c r="C4" s="4" t="s">
        <v>4</v>
      </c>
      <c r="D4" s="4" t="s">
        <v>5</v>
      </c>
    </row>
    <row r="5" spans="1:7" ht="16.5" customHeight="1"/>
    <row r="6" spans="1:7" ht="12.75" customHeight="1">
      <c r="A6" s="3" t="s">
        <v>6</v>
      </c>
      <c r="B6" s="5"/>
      <c r="C6" s="5"/>
      <c r="D6" s="5"/>
    </row>
    <row r="7" spans="1:7" ht="16.5" customHeight="1"/>
    <row r="8" spans="1:7" ht="12.75" customHeight="1">
      <c r="B8" s="6" t="s">
        <v>7</v>
      </c>
      <c r="C8" s="6" t="s">
        <v>7</v>
      </c>
      <c r="D8" s="6" t="s">
        <v>7</v>
      </c>
    </row>
    <row r="9" spans="1:7" ht="16.5" customHeight="1">
      <c r="A9" t="s">
        <v>8</v>
      </c>
      <c r="B9" t="s">
        <v>3</v>
      </c>
    </row>
    <row r="10" spans="1:7" ht="15" customHeight="1">
      <c r="A10" s="7" t="s">
        <v>9</v>
      </c>
      <c r="B10" s="8"/>
      <c r="C10" s="8"/>
      <c r="D10" s="8"/>
    </row>
    <row r="11" spans="1:7" ht="15" customHeight="1">
      <c r="A11" s="9" t="s">
        <v>10</v>
      </c>
      <c r="B11" s="10">
        <v>2514408</v>
      </c>
      <c r="C11" s="10"/>
      <c r="D11" s="10"/>
      <c r="E11" s="10"/>
      <c r="F11" s="10"/>
      <c r="G11" s="10"/>
    </row>
    <row r="12" spans="1:7" ht="15" customHeight="1">
      <c r="A12" s="9" t="s">
        <v>11</v>
      </c>
      <c r="B12" s="10">
        <v>-2249085</v>
      </c>
      <c r="C12" s="10"/>
      <c r="D12" s="10"/>
      <c r="E12" s="10"/>
      <c r="F12" s="10"/>
      <c r="G12" s="10"/>
    </row>
    <row r="13" spans="1:7" ht="15" customHeight="1">
      <c r="A13" s="11" t="s">
        <v>12</v>
      </c>
      <c r="B13" s="12">
        <f t="shared" ref="B13:G13" si="0">B11+B12</f>
        <v>265323</v>
      </c>
      <c r="C13" s="12"/>
      <c r="D13" s="12"/>
      <c r="E13" s="12"/>
      <c r="F13" s="12"/>
      <c r="G13" s="12"/>
    </row>
    <row r="14" spans="1:7" ht="15" customHeight="1">
      <c r="A14" s="9" t="s">
        <v>13</v>
      </c>
      <c r="B14" s="10">
        <v>-76190</v>
      </c>
      <c r="C14" s="10"/>
      <c r="D14" s="10"/>
    </row>
    <row r="15" spans="1:7" ht="15" customHeight="1">
      <c r="A15" s="9" t="s">
        <v>14</v>
      </c>
      <c r="B15" s="10">
        <v>-379686</v>
      </c>
      <c r="C15" s="10"/>
      <c r="D15" s="10"/>
    </row>
    <row r="16" spans="1:7" ht="15" customHeight="1">
      <c r="A16" s="9" t="s">
        <v>15</v>
      </c>
      <c r="B16" s="10">
        <f>164870+1722</f>
        <v>166592</v>
      </c>
      <c r="C16" s="10"/>
      <c r="D16" s="10"/>
    </row>
    <row r="17" spans="1:4" ht="15" customHeight="1">
      <c r="A17" s="13" t="s">
        <v>16</v>
      </c>
      <c r="B17" s="14">
        <f>SUM(B13:B16)</f>
        <v>-23961</v>
      </c>
      <c r="C17" s="10"/>
      <c r="D17" s="10"/>
    </row>
    <row r="18" spans="1:4" ht="15" customHeight="1">
      <c r="A18" s="9" t="s">
        <v>17</v>
      </c>
      <c r="B18" s="10">
        <v>0</v>
      </c>
      <c r="C18" s="10"/>
      <c r="D18" s="10"/>
    </row>
    <row r="19" spans="1:4" ht="15" customHeight="1">
      <c r="A19" s="9" t="s">
        <v>18</v>
      </c>
      <c r="B19" s="10">
        <v>-10212</v>
      </c>
      <c r="C19" s="10"/>
      <c r="D19" s="10"/>
    </row>
    <row r="20" spans="1:4" ht="17.25" customHeight="1">
      <c r="A20" s="13" t="s">
        <v>19</v>
      </c>
      <c r="B20" s="15">
        <f t="shared" ref="B20:B23" si="1">SUM(B17:B19)</f>
        <v>-34173</v>
      </c>
      <c r="C20" s="10"/>
      <c r="D20" s="10"/>
    </row>
    <row r="21" spans="1:4" ht="15" customHeight="1">
      <c r="A21" s="9" t="s">
        <v>20</v>
      </c>
      <c r="B21" s="10">
        <v>-9941</v>
      </c>
      <c r="C21" s="10"/>
      <c r="D21" s="10" t="s">
        <v>8</v>
      </c>
    </row>
    <row r="22" spans="1:4" ht="15" customHeight="1">
      <c r="A22" s="9" t="s">
        <v>21</v>
      </c>
      <c r="B22" s="10">
        <v>12773</v>
      </c>
      <c r="C22" s="10"/>
      <c r="D22" s="10" t="s">
        <v>8</v>
      </c>
    </row>
    <row r="23" spans="1:4" ht="15" customHeight="1">
      <c r="A23" s="13" t="s">
        <v>22</v>
      </c>
      <c r="B23" s="14">
        <f t="shared" si="1"/>
        <v>-31341</v>
      </c>
      <c r="C23" s="10"/>
      <c r="D23" s="10"/>
    </row>
    <row r="24" spans="1:4" ht="15" customHeight="1">
      <c r="A24" s="13" t="s">
        <v>23</v>
      </c>
      <c r="B24" s="10">
        <v>9929</v>
      </c>
      <c r="C24" s="10"/>
      <c r="D24" s="10" t="s">
        <v>8</v>
      </c>
    </row>
    <row r="25" spans="1:4" ht="16.5" customHeight="1">
      <c r="A25" s="13" t="s">
        <v>24</v>
      </c>
      <c r="B25" s="16">
        <f>SUM(B23:B24)</f>
        <v>-21412</v>
      </c>
      <c r="C25" s="10"/>
      <c r="D25" s="10"/>
    </row>
    <row r="26" spans="1:4" ht="16.5" customHeight="1">
      <c r="C26" s="10"/>
      <c r="D26" s="10"/>
    </row>
    <row r="27" spans="1:4" ht="16.5" customHeight="1">
      <c r="A27" t="s">
        <v>25</v>
      </c>
      <c r="C27" s="10"/>
      <c r="D27" s="10"/>
    </row>
    <row r="28" spans="1:4" ht="16.5" customHeight="1">
      <c r="C28" s="10"/>
      <c r="D28" s="10"/>
    </row>
    <row r="29" spans="1:4" ht="15" customHeight="1">
      <c r="A29" s="17" t="s">
        <v>26</v>
      </c>
      <c r="B29" s="18" t="s">
        <v>8</v>
      </c>
      <c r="C29" s="10"/>
      <c r="D29" s="10"/>
    </row>
    <row r="30" spans="1:4" ht="15" customHeight="1">
      <c r="A30" s="19" t="s">
        <v>27</v>
      </c>
      <c r="B30" s="20"/>
      <c r="C30" s="10"/>
      <c r="D30" s="10"/>
    </row>
    <row r="31" spans="1:4" ht="15" hidden="1" customHeight="1">
      <c r="A31" s="19" t="s">
        <v>28</v>
      </c>
      <c r="B31" s="20"/>
      <c r="C31" s="21"/>
      <c r="D31" s="21"/>
    </row>
    <row r="32" spans="1:4" ht="15" hidden="1" customHeight="1">
      <c r="A32" s="19" t="s">
        <v>29</v>
      </c>
      <c r="B32" s="20"/>
      <c r="C32" s="10"/>
      <c r="D32" s="10"/>
    </row>
    <row r="33" spans="1:4" ht="15" customHeight="1">
      <c r="A33" s="19" t="s">
        <v>30</v>
      </c>
      <c r="B33" s="20">
        <v>282839</v>
      </c>
      <c r="C33" s="10"/>
      <c r="D33" s="10"/>
    </row>
    <row r="34" spans="1:4" ht="15" hidden="1" customHeight="1">
      <c r="A34" s="19" t="s">
        <v>31</v>
      </c>
      <c r="B34" s="20"/>
      <c r="C34" s="10"/>
      <c r="D34" s="10"/>
    </row>
    <row r="35" spans="1:4" ht="15" customHeight="1">
      <c r="A35" s="22" t="s">
        <v>32</v>
      </c>
      <c r="B35" s="23">
        <v>282839</v>
      </c>
      <c r="C35" s="10"/>
      <c r="D35" s="10"/>
    </row>
    <row r="36" spans="1:4" ht="15" customHeight="1">
      <c r="A36" s="19" t="s">
        <v>33</v>
      </c>
      <c r="B36" s="20"/>
      <c r="C36" s="10"/>
      <c r="D36" s="10"/>
    </row>
    <row r="37" spans="1:4" ht="15" hidden="1" customHeight="1">
      <c r="A37" s="19" t="s">
        <v>34</v>
      </c>
      <c r="B37" s="20">
        <v>32213</v>
      </c>
      <c r="C37" s="10"/>
      <c r="D37" s="10"/>
    </row>
    <row r="38" spans="1:4" ht="15" hidden="1" customHeight="1">
      <c r="A38" s="19" t="s">
        <v>35</v>
      </c>
      <c r="B38" s="20">
        <v>618173</v>
      </c>
      <c r="C38" s="10"/>
      <c r="D38" s="10"/>
    </row>
    <row r="39" spans="1:4" ht="15" customHeight="1">
      <c r="A39" s="22" t="s">
        <v>36</v>
      </c>
      <c r="B39" s="23">
        <v>650386</v>
      </c>
      <c r="C39" s="10"/>
      <c r="D39" s="10"/>
    </row>
    <row r="40" spans="1:4" ht="15" customHeight="1">
      <c r="A40" s="22" t="s">
        <v>37</v>
      </c>
      <c r="B40" s="23">
        <v>933225</v>
      </c>
      <c r="C40" s="24"/>
      <c r="D40" s="24"/>
    </row>
    <row r="41" spans="1:4" ht="15" customHeight="1">
      <c r="A41" s="19" t="s">
        <v>38</v>
      </c>
      <c r="B41" s="20">
        <v>68348</v>
      </c>
      <c r="C41" s="12"/>
      <c r="D41" s="12"/>
    </row>
    <row r="42" spans="1:4" ht="15" customHeight="1">
      <c r="A42" s="19" t="s">
        <v>39</v>
      </c>
      <c r="B42" s="20">
        <v>245</v>
      </c>
      <c r="C42" s="8"/>
      <c r="D42" s="8"/>
    </row>
    <row r="43" spans="1:4" ht="15" customHeight="1">
      <c r="A43" s="19" t="s">
        <v>40</v>
      </c>
      <c r="B43" s="20"/>
      <c r="C43" s="8"/>
      <c r="D43" s="8"/>
    </row>
    <row r="44" spans="1:4" ht="15" hidden="1" customHeight="1">
      <c r="A44" s="19" t="s">
        <v>41</v>
      </c>
      <c r="B44" s="20">
        <v>97528</v>
      </c>
      <c r="C44" s="10"/>
      <c r="D44" s="10"/>
    </row>
    <row r="45" spans="1:4" ht="15" hidden="1" customHeight="1">
      <c r="A45" s="19" t="s">
        <v>42</v>
      </c>
      <c r="B45" s="20">
        <v>63442</v>
      </c>
      <c r="C45" s="10"/>
      <c r="D45" s="10"/>
    </row>
    <row r="46" spans="1:4" ht="15" hidden="1" customHeight="1">
      <c r="A46" s="19" t="s">
        <v>43</v>
      </c>
      <c r="B46" s="20">
        <v>215328</v>
      </c>
      <c r="C46" s="10"/>
      <c r="D46" s="10"/>
    </row>
    <row r="47" spans="1:4" ht="15" customHeight="1">
      <c r="A47" s="22" t="s">
        <v>44</v>
      </c>
      <c r="B47" s="23">
        <v>376298</v>
      </c>
      <c r="C47" s="10"/>
      <c r="D47" s="10"/>
    </row>
    <row r="48" spans="1:4" ht="15" hidden="1" customHeight="1">
      <c r="A48" s="19" t="s">
        <v>45</v>
      </c>
      <c r="B48" s="20"/>
      <c r="C48" s="24"/>
      <c r="D48" s="24"/>
    </row>
    <row r="49" spans="1:4" ht="15" hidden="1" customHeight="1">
      <c r="A49" s="19" t="s">
        <v>46</v>
      </c>
      <c r="B49" s="20"/>
      <c r="C49" s="24"/>
      <c r="D49" s="24"/>
    </row>
    <row r="50" spans="1:4" ht="15" customHeight="1">
      <c r="A50" s="19" t="s">
        <v>47</v>
      </c>
      <c r="B50" s="20">
        <v>344759</v>
      </c>
      <c r="C50" s="10"/>
      <c r="D50" s="10"/>
    </row>
    <row r="51" spans="1:4" ht="15" customHeight="1">
      <c r="A51" s="19" t="s">
        <v>48</v>
      </c>
      <c r="B51" s="25">
        <v>-3577</v>
      </c>
      <c r="C51" s="10"/>
      <c r="D51" s="10"/>
    </row>
    <row r="52" spans="1:4" ht="15" customHeight="1">
      <c r="A52" s="22" t="s">
        <v>49</v>
      </c>
      <c r="B52" s="23">
        <v>341182</v>
      </c>
      <c r="C52" s="10"/>
      <c r="D52" s="10"/>
    </row>
    <row r="53" spans="1:4" ht="15" customHeight="1">
      <c r="A53" s="19" t="s">
        <v>50</v>
      </c>
      <c r="B53" s="20">
        <v>28346</v>
      </c>
      <c r="C53" s="10"/>
      <c r="D53" s="10"/>
    </row>
    <row r="54" spans="1:4" ht="15" customHeight="1">
      <c r="A54" s="19" t="s">
        <v>51</v>
      </c>
      <c r="B54" s="20">
        <v>16066</v>
      </c>
      <c r="C54" s="10"/>
      <c r="D54" s="10"/>
    </row>
    <row r="55" spans="1:4" ht="15" customHeight="1">
      <c r="A55" s="22" t="s">
        <v>52</v>
      </c>
      <c r="B55" s="23">
        <v>385594</v>
      </c>
      <c r="C55" s="24"/>
      <c r="D55" s="24"/>
    </row>
    <row r="56" spans="1:4" ht="15" customHeight="1">
      <c r="A56" s="19" t="s">
        <v>53</v>
      </c>
      <c r="B56" s="20">
        <v>56180</v>
      </c>
      <c r="C56" s="10"/>
      <c r="D56" s="10"/>
    </row>
    <row r="57" spans="1:4" ht="15" customHeight="1">
      <c r="A57" s="19" t="s">
        <v>54</v>
      </c>
      <c r="B57" s="20">
        <v>11517</v>
      </c>
      <c r="C57" s="10"/>
      <c r="D57" s="10"/>
    </row>
    <row r="58" spans="1:4" ht="15" hidden="1" customHeight="1">
      <c r="A58" s="19" t="s">
        <v>55</v>
      </c>
      <c r="B58" s="20"/>
      <c r="C58" s="10"/>
      <c r="D58" s="10"/>
    </row>
    <row r="59" spans="1:4" ht="15" customHeight="1">
      <c r="A59" s="22" t="s">
        <v>56</v>
      </c>
      <c r="B59" s="23">
        <v>1831407</v>
      </c>
      <c r="C59" s="24"/>
      <c r="D59" s="24"/>
    </row>
    <row r="60" spans="1:4" ht="15" customHeight="1">
      <c r="A60" s="19" t="s">
        <v>57</v>
      </c>
      <c r="B60" s="20"/>
      <c r="C60" s="10"/>
      <c r="D60" s="10"/>
    </row>
    <row r="61" spans="1:4" ht="15" customHeight="1">
      <c r="A61" s="19" t="s">
        <v>58</v>
      </c>
      <c r="B61" s="20"/>
      <c r="C61" s="10"/>
      <c r="D61" s="10"/>
    </row>
    <row r="62" spans="1:4" ht="15" hidden="1" customHeight="1">
      <c r="A62" s="19" t="s">
        <v>59</v>
      </c>
      <c r="B62" s="20"/>
      <c r="C62" s="10"/>
      <c r="D62" s="10"/>
    </row>
    <row r="63" spans="1:4" ht="15" hidden="1" customHeight="1">
      <c r="A63" s="19" t="s">
        <v>60</v>
      </c>
      <c r="B63" s="20"/>
      <c r="C63" s="24"/>
      <c r="D63" s="24"/>
    </row>
    <row r="64" spans="1:4" ht="15" customHeight="1">
      <c r="A64" s="19" t="s">
        <v>61</v>
      </c>
      <c r="B64" s="20">
        <v>707590</v>
      </c>
      <c r="C64" s="10"/>
      <c r="D64" s="10"/>
    </row>
    <row r="65" spans="1:4" ht="15" customHeight="1">
      <c r="A65" s="19" t="s">
        <v>62</v>
      </c>
      <c r="B65" s="20">
        <v>918280</v>
      </c>
      <c r="C65" s="10"/>
      <c r="D65" s="10"/>
    </row>
    <row r="66" spans="1:4" ht="15" customHeight="1">
      <c r="A66" s="22" t="s">
        <v>63</v>
      </c>
      <c r="B66" s="23">
        <v>1625870</v>
      </c>
      <c r="C66" s="24"/>
      <c r="D66" s="24"/>
    </row>
    <row r="67" spans="1:4" ht="15" hidden="1" customHeight="1">
      <c r="A67" s="19" t="s">
        <v>64</v>
      </c>
      <c r="B67" s="20"/>
      <c r="C67" s="24"/>
      <c r="D67" s="24"/>
    </row>
    <row r="68" spans="1:4" ht="15" customHeight="1">
      <c r="A68" s="19" t="s">
        <v>65</v>
      </c>
      <c r="B68" s="20">
        <v>2596675</v>
      </c>
      <c r="C68" s="10"/>
      <c r="D68" s="10"/>
    </row>
    <row r="69" spans="1:4" ht="15" customHeight="1">
      <c r="A69" s="22" t="s">
        <v>66</v>
      </c>
      <c r="B69" s="23">
        <v>2596675</v>
      </c>
      <c r="C69" s="10"/>
      <c r="D69" s="10"/>
    </row>
    <row r="70" spans="1:4" ht="15" customHeight="1">
      <c r="A70" s="19" t="s">
        <v>67</v>
      </c>
      <c r="B70" s="20">
        <v>997442</v>
      </c>
      <c r="C70" s="10"/>
      <c r="D70" s="10"/>
    </row>
    <row r="71" spans="1:4" ht="15" customHeight="1">
      <c r="A71" s="19" t="s">
        <v>68</v>
      </c>
      <c r="B71" s="20">
        <v>11499</v>
      </c>
      <c r="C71" s="10"/>
      <c r="D71" s="10"/>
    </row>
    <row r="72" spans="1:4" ht="15" customHeight="1">
      <c r="A72" s="19" t="s">
        <v>69</v>
      </c>
      <c r="B72" s="20">
        <v>369822</v>
      </c>
      <c r="C72" s="10"/>
      <c r="D72" s="10"/>
    </row>
    <row r="73" spans="1:4" ht="15" customHeight="1">
      <c r="A73" s="22" t="s">
        <v>70</v>
      </c>
      <c r="B73" s="23">
        <v>5601308</v>
      </c>
      <c r="C73" s="10"/>
      <c r="D73" s="10"/>
    </row>
    <row r="74" spans="1:4" ht="15" hidden="1" customHeight="1">
      <c r="A74" s="19" t="s">
        <v>71</v>
      </c>
      <c r="B74" s="20"/>
      <c r="C74" s="24"/>
      <c r="D74" s="24"/>
    </row>
    <row r="75" spans="1:4" ht="15" hidden="1" customHeight="1">
      <c r="A75" s="19" t="s">
        <v>72</v>
      </c>
      <c r="B75" s="20"/>
      <c r="C75" s="10"/>
      <c r="D75" s="10"/>
    </row>
    <row r="76" spans="1:4" ht="15" hidden="1" customHeight="1">
      <c r="A76" s="19" t="s">
        <v>73</v>
      </c>
      <c r="B76" s="20"/>
      <c r="C76" s="12"/>
      <c r="D76" s="12"/>
    </row>
    <row r="77" spans="1:4" ht="15" customHeight="1">
      <c r="A77" s="19" t="s">
        <v>74</v>
      </c>
      <c r="B77" s="20">
        <v>0</v>
      </c>
      <c r="C77" s="21"/>
      <c r="D77" s="21"/>
    </row>
    <row r="78" spans="1:4" ht="15" customHeight="1">
      <c r="A78" s="19" t="s">
        <v>75</v>
      </c>
      <c r="B78" s="25">
        <v>-150667</v>
      </c>
      <c r="C78" s="21"/>
      <c r="D78" s="21"/>
    </row>
    <row r="79" spans="1:4" ht="15" customHeight="1">
      <c r="A79" s="22" t="s">
        <v>76</v>
      </c>
      <c r="B79" s="26">
        <v>-150667</v>
      </c>
      <c r="C79" s="21"/>
      <c r="D79" s="21"/>
    </row>
    <row r="80" spans="1:4" ht="15" customHeight="1">
      <c r="A80" s="19" t="s">
        <v>77</v>
      </c>
      <c r="B80" s="19"/>
      <c r="C80" s="21"/>
      <c r="D80" s="21"/>
    </row>
    <row r="81" spans="1:4" ht="15" customHeight="1">
      <c r="A81" s="19" t="s">
        <v>78</v>
      </c>
      <c r="B81" s="25">
        <v>-1376157</v>
      </c>
      <c r="C81" s="21"/>
      <c r="D81" s="21"/>
    </row>
    <row r="82" spans="1:4" ht="15" customHeight="1">
      <c r="A82" s="22" t="s">
        <v>79</v>
      </c>
      <c r="B82" s="26">
        <v>-1376157</v>
      </c>
      <c r="C82" s="21"/>
      <c r="D82" s="21"/>
    </row>
    <row r="83" spans="1:4" ht="15" hidden="1" customHeight="1">
      <c r="A83" s="19" t="s">
        <v>80</v>
      </c>
      <c r="B83" s="20">
        <v>0</v>
      </c>
      <c r="C83" s="21"/>
      <c r="D83" s="21"/>
    </row>
    <row r="84" spans="1:4" ht="15" customHeight="1">
      <c r="A84" s="19" t="s">
        <v>81</v>
      </c>
      <c r="B84" s="25">
        <v>-243404</v>
      </c>
      <c r="C84" s="21"/>
      <c r="D84" s="21"/>
    </row>
    <row r="85" spans="1:4" ht="15" customHeight="1">
      <c r="A85" s="22" t="s">
        <v>82</v>
      </c>
      <c r="B85" s="26">
        <v>-1770228</v>
      </c>
      <c r="C85" s="21"/>
      <c r="D85" s="21"/>
    </row>
    <row r="86" spans="1:4" ht="15" customHeight="1">
      <c r="A86" s="19" t="s">
        <v>83</v>
      </c>
      <c r="B86" s="25">
        <v>-52224</v>
      </c>
      <c r="C86" s="27"/>
      <c r="D86" s="27"/>
    </row>
    <row r="87" spans="1:4" ht="15" customHeight="1">
      <c r="A87" s="22" t="s">
        <v>84</v>
      </c>
      <c r="B87" s="26">
        <v>-1822452</v>
      </c>
      <c r="C87" s="28"/>
      <c r="D87" s="28"/>
    </row>
    <row r="88" spans="1:4" ht="15" customHeight="1">
      <c r="A88" s="22" t="s">
        <v>85</v>
      </c>
      <c r="B88" s="23">
        <v>3778856</v>
      </c>
      <c r="C88" s="29"/>
      <c r="D88" s="29"/>
    </row>
    <row r="89" spans="1:4" ht="15" customHeight="1">
      <c r="A89" s="19" t="s">
        <v>86</v>
      </c>
      <c r="B89" s="20">
        <v>468316</v>
      </c>
      <c r="C89" s="27"/>
      <c r="D89" s="27"/>
    </row>
    <row r="90" spans="1:4" ht="15" hidden="1" customHeight="1">
      <c r="A90" s="19" t="s">
        <v>87</v>
      </c>
      <c r="B90" s="20"/>
      <c r="C90" s="28"/>
      <c r="D90" s="28"/>
    </row>
    <row r="91" spans="1:4" ht="15" hidden="1" customHeight="1">
      <c r="A91" s="19" t="s">
        <v>88</v>
      </c>
      <c r="B91" s="20"/>
      <c r="C91" s="29"/>
      <c r="D91" s="29"/>
    </row>
    <row r="92" spans="1:4" ht="15" customHeight="1">
      <c r="A92" s="19" t="s">
        <v>89</v>
      </c>
      <c r="B92" s="20">
        <v>980691</v>
      </c>
      <c r="C92" s="21"/>
      <c r="D92" s="21"/>
    </row>
    <row r="93" spans="1:4" ht="15" hidden="1" customHeight="1">
      <c r="A93" s="19" t="s">
        <v>90</v>
      </c>
      <c r="B93" s="20"/>
      <c r="C93" s="21"/>
      <c r="D93" s="21"/>
    </row>
    <row r="94" spans="1:4" ht="15" customHeight="1">
      <c r="A94" s="19" t="s">
        <v>91</v>
      </c>
      <c r="B94" s="20">
        <v>1460</v>
      </c>
      <c r="C94" s="30"/>
      <c r="D94" s="30"/>
    </row>
    <row r="95" spans="1:4" ht="15" customHeight="1">
      <c r="A95" s="19" t="s">
        <v>92</v>
      </c>
      <c r="B95" s="20">
        <v>40477</v>
      </c>
      <c r="C95" s="31"/>
      <c r="D95" s="31"/>
    </row>
    <row r="96" spans="1:4" ht="15" customHeight="1">
      <c r="A96" s="22" t="s">
        <v>93</v>
      </c>
      <c r="B96" s="23">
        <v>41937</v>
      </c>
      <c r="C96" s="28"/>
      <c r="D96" s="28"/>
    </row>
    <row r="97" spans="1:4" ht="15" customHeight="1">
      <c r="A97" s="22" t="s">
        <v>94</v>
      </c>
      <c r="B97" s="23">
        <v>1022628</v>
      </c>
      <c r="C97" s="28"/>
      <c r="D97" s="28"/>
    </row>
    <row r="98" spans="1:4" ht="15" hidden="1" customHeight="1">
      <c r="A98" s="19" t="s">
        <v>95</v>
      </c>
      <c r="B98" s="20"/>
      <c r="C98" s="28"/>
      <c r="D98" s="28"/>
    </row>
    <row r="99" spans="1:4" ht="15" hidden="1" customHeight="1">
      <c r="A99" s="19" t="s">
        <v>96</v>
      </c>
      <c r="B99" s="20"/>
      <c r="C99" s="28"/>
      <c r="D99" s="28"/>
    </row>
    <row r="100" spans="1:4" ht="15" hidden="1" customHeight="1">
      <c r="A100" s="19" t="s">
        <v>97</v>
      </c>
      <c r="B100" s="19"/>
      <c r="C100" s="28"/>
      <c r="D100" s="28"/>
    </row>
    <row r="101" spans="1:4" ht="15" customHeight="1">
      <c r="A101" s="19" t="s">
        <v>98</v>
      </c>
      <c r="B101" s="25">
        <v>-280</v>
      </c>
      <c r="C101" s="28"/>
      <c r="D101" s="28"/>
    </row>
    <row r="102" spans="1:4" ht="15" customHeight="1">
      <c r="A102" s="19" t="s">
        <v>99</v>
      </c>
      <c r="B102" s="25">
        <v>-23613</v>
      </c>
      <c r="C102" s="28"/>
      <c r="D102" s="28"/>
    </row>
    <row r="103" spans="1:4" ht="15" customHeight="1">
      <c r="A103" s="22" t="s">
        <v>100</v>
      </c>
      <c r="B103" s="26">
        <v>-23893</v>
      </c>
      <c r="C103" s="28"/>
      <c r="D103" s="28"/>
    </row>
    <row r="104" spans="1:4" ht="15" customHeight="1">
      <c r="A104" s="22" t="s">
        <v>101</v>
      </c>
      <c r="B104" s="26">
        <v>-23893</v>
      </c>
      <c r="C104" s="28"/>
      <c r="D104" s="28"/>
    </row>
    <row r="105" spans="1:4" ht="15" hidden="1" customHeight="1">
      <c r="A105" s="19" t="s">
        <v>102</v>
      </c>
      <c r="B105" s="20"/>
      <c r="C105" s="28"/>
      <c r="D105" s="28"/>
    </row>
    <row r="106" spans="1:4" ht="15" customHeight="1">
      <c r="A106" s="19" t="s">
        <v>103</v>
      </c>
      <c r="B106" s="25">
        <v>-137553</v>
      </c>
      <c r="C106" s="28"/>
      <c r="D106" s="28"/>
    </row>
    <row r="107" spans="1:4" ht="15" customHeight="1">
      <c r="A107" s="22" t="s">
        <v>104</v>
      </c>
      <c r="B107" s="26">
        <v>-137553</v>
      </c>
      <c r="C107" s="28"/>
      <c r="D107" s="28"/>
    </row>
    <row r="108" spans="1:4" ht="15" customHeight="1">
      <c r="A108" s="22" t="s">
        <v>105</v>
      </c>
      <c r="B108" s="26">
        <v>-161446</v>
      </c>
      <c r="C108" s="31"/>
      <c r="D108" s="31"/>
    </row>
    <row r="109" spans="1:4" ht="15" customHeight="1">
      <c r="A109" s="22" t="s">
        <v>106</v>
      </c>
      <c r="B109" s="23">
        <v>861182</v>
      </c>
      <c r="C109" s="10"/>
      <c r="D109" s="10"/>
    </row>
    <row r="110" spans="1:4" ht="15" customHeight="1">
      <c r="A110" s="19" t="s">
        <v>107</v>
      </c>
      <c r="B110" s="20">
        <v>888</v>
      </c>
      <c r="C110" s="10"/>
      <c r="D110" s="10"/>
    </row>
    <row r="111" spans="1:4" ht="15" customHeight="1">
      <c r="A111" s="19" t="s">
        <v>108</v>
      </c>
      <c r="B111" s="20"/>
      <c r="C111" s="31"/>
      <c r="D111" s="31"/>
    </row>
    <row r="112" spans="1:4" ht="15" hidden="1" customHeight="1">
      <c r="A112" s="19" t="s">
        <v>109</v>
      </c>
      <c r="B112" s="20"/>
      <c r="C112" s="10"/>
      <c r="D112" s="10"/>
    </row>
    <row r="113" spans="1:4" ht="15" customHeight="1">
      <c r="A113" s="19" t="s">
        <v>110</v>
      </c>
      <c r="B113" s="20">
        <v>5301</v>
      </c>
      <c r="C113" s="10"/>
      <c r="D113" s="10"/>
    </row>
    <row r="114" spans="1:4" ht="15" customHeight="1">
      <c r="A114" s="22" t="s">
        <v>111</v>
      </c>
      <c r="B114" s="23">
        <v>5301</v>
      </c>
      <c r="C114" s="10"/>
      <c r="D114" s="10"/>
    </row>
    <row r="115" spans="1:4" ht="15" hidden="1" customHeight="1">
      <c r="A115" s="19" t="s">
        <v>112</v>
      </c>
      <c r="B115" s="20"/>
      <c r="C115" s="10"/>
      <c r="D115" s="10"/>
    </row>
    <row r="116" spans="1:4" ht="15" customHeight="1">
      <c r="A116" s="19" t="s">
        <v>113</v>
      </c>
      <c r="B116" s="20">
        <v>392</v>
      </c>
      <c r="C116" s="10"/>
      <c r="D116" s="10"/>
    </row>
    <row r="117" spans="1:4" ht="15" hidden="1" customHeight="1">
      <c r="A117" s="19" t="s">
        <v>114</v>
      </c>
      <c r="B117" s="20"/>
      <c r="C117" s="24"/>
      <c r="D117" s="24"/>
    </row>
    <row r="118" spans="1:4" ht="15" customHeight="1">
      <c r="A118" s="22" t="s">
        <v>115</v>
      </c>
      <c r="B118" s="23">
        <v>392</v>
      </c>
      <c r="C118" s="24"/>
      <c r="D118" s="24"/>
    </row>
    <row r="119" spans="1:4" ht="15" customHeight="1">
      <c r="A119" s="22" t="s">
        <v>116</v>
      </c>
      <c r="B119" s="23">
        <v>5693</v>
      </c>
      <c r="C119" s="31"/>
      <c r="D119" s="31"/>
    </row>
    <row r="120" spans="1:4" ht="15" customHeight="1">
      <c r="A120" s="19" t="s">
        <v>117</v>
      </c>
      <c r="B120" s="20">
        <v>11751</v>
      </c>
      <c r="C120" s="10"/>
      <c r="D120" s="10"/>
    </row>
    <row r="121" spans="1:4" ht="15" customHeight="1">
      <c r="A121" s="22" t="s">
        <v>118</v>
      </c>
      <c r="B121" s="23">
        <v>5126686</v>
      </c>
      <c r="C121" s="10"/>
      <c r="D121" s="10"/>
    </row>
    <row r="122" spans="1:4" ht="15" customHeight="1">
      <c r="A122" s="17" t="s">
        <v>119</v>
      </c>
      <c r="B122" s="32">
        <v>6958093</v>
      </c>
      <c r="C122" s="10"/>
      <c r="D122" s="10"/>
    </row>
    <row r="123" spans="1:4" ht="15" customHeight="1">
      <c r="A123" s="17" t="s">
        <v>120</v>
      </c>
      <c r="B123" s="18" t="s">
        <v>8</v>
      </c>
      <c r="C123" s="24"/>
      <c r="D123" s="24"/>
    </row>
    <row r="124" spans="1:4" ht="15" customHeight="1">
      <c r="A124" s="19" t="s">
        <v>121</v>
      </c>
      <c r="B124" s="20"/>
      <c r="C124" s="31"/>
      <c r="D124" s="31"/>
    </row>
    <row r="125" spans="1:4" ht="15" hidden="1" customHeight="1">
      <c r="A125" s="19" t="s">
        <v>122</v>
      </c>
      <c r="B125" s="20"/>
      <c r="C125" s="10"/>
      <c r="D125" s="10"/>
    </row>
    <row r="126" spans="1:4" ht="15" hidden="1" customHeight="1">
      <c r="A126" s="19" t="s">
        <v>123</v>
      </c>
      <c r="B126" s="20"/>
      <c r="C126" s="10"/>
      <c r="D126" s="10"/>
    </row>
    <row r="127" spans="1:4" ht="15" customHeight="1">
      <c r="A127" s="19" t="s">
        <v>124</v>
      </c>
      <c r="B127" s="20">
        <v>194580</v>
      </c>
      <c r="C127" s="10"/>
      <c r="D127" s="10"/>
    </row>
    <row r="128" spans="1:4" ht="15" hidden="1" customHeight="1">
      <c r="A128" s="19" t="s">
        <v>125</v>
      </c>
      <c r="B128" s="20"/>
      <c r="C128" s="10"/>
      <c r="D128" s="10"/>
    </row>
    <row r="129" spans="1:4" ht="15" customHeight="1">
      <c r="A129" s="19" t="s">
        <v>126</v>
      </c>
      <c r="B129" s="20">
        <v>8444</v>
      </c>
      <c r="C129" s="33"/>
      <c r="D129" s="33"/>
    </row>
    <row r="130" spans="1:4" ht="15" customHeight="1">
      <c r="A130" s="22" t="s">
        <v>127</v>
      </c>
      <c r="B130" s="23">
        <v>8444</v>
      </c>
      <c r="C130" s="31"/>
      <c r="D130" s="31"/>
    </row>
    <row r="131" spans="1:4" ht="15" customHeight="1">
      <c r="A131" s="19" t="s">
        <v>128</v>
      </c>
      <c r="B131" s="20">
        <v>116295</v>
      </c>
      <c r="C131" s="10"/>
      <c r="D131" s="10"/>
    </row>
    <row r="132" spans="1:4" ht="15" customHeight="1">
      <c r="A132" s="22" t="s">
        <v>129</v>
      </c>
      <c r="B132" s="23">
        <v>319319</v>
      </c>
      <c r="C132" s="10"/>
      <c r="D132" s="10"/>
    </row>
    <row r="133" spans="1:4" ht="15" customHeight="1">
      <c r="A133" s="19" t="s">
        <v>130</v>
      </c>
      <c r="B133" s="20">
        <v>122134</v>
      </c>
      <c r="C133" s="10"/>
      <c r="D133" s="10"/>
    </row>
    <row r="134" spans="1:4" ht="15" customHeight="1">
      <c r="A134" s="22" t="s">
        <v>131</v>
      </c>
      <c r="B134" s="23">
        <v>441453</v>
      </c>
      <c r="C134" s="10"/>
      <c r="D134" s="10"/>
    </row>
    <row r="135" spans="1:4" ht="15" hidden="1" customHeight="1">
      <c r="A135" s="19" t="s">
        <v>132</v>
      </c>
      <c r="B135" s="20"/>
      <c r="C135" s="10"/>
      <c r="D135" s="10"/>
    </row>
    <row r="136" spans="1:4" ht="15" hidden="1" customHeight="1">
      <c r="A136" s="19" t="s">
        <v>133</v>
      </c>
      <c r="B136" s="20"/>
      <c r="C136" s="10"/>
      <c r="D136" s="10"/>
    </row>
    <row r="137" spans="1:4" ht="15" customHeight="1">
      <c r="A137" s="19" t="s">
        <v>134</v>
      </c>
      <c r="B137" s="20"/>
      <c r="C137" s="10"/>
      <c r="D137" s="10"/>
    </row>
    <row r="138" spans="1:4" ht="15" customHeight="1">
      <c r="A138" s="19" t="s">
        <v>135</v>
      </c>
      <c r="B138" s="20">
        <v>390794</v>
      </c>
      <c r="C138" s="10"/>
      <c r="D138" s="10"/>
    </row>
    <row r="139" spans="1:4" ht="15" customHeight="1">
      <c r="A139" s="19" t="s">
        <v>136</v>
      </c>
      <c r="B139" s="20"/>
      <c r="C139" s="10"/>
      <c r="D139" s="10"/>
    </row>
    <row r="140" spans="1:4" ht="15" customHeight="1">
      <c r="A140" s="22" t="s">
        <v>137</v>
      </c>
      <c r="B140" s="23">
        <v>390794</v>
      </c>
      <c r="C140" s="10"/>
      <c r="D140" s="10"/>
    </row>
    <row r="141" spans="1:4" ht="15" customHeight="1">
      <c r="A141" s="19" t="s">
        <v>138</v>
      </c>
      <c r="B141" s="19"/>
      <c r="C141" s="10"/>
      <c r="D141" s="10"/>
    </row>
    <row r="142" spans="1:4" ht="15" hidden="1" customHeight="1">
      <c r="A142" s="19" t="s">
        <v>139</v>
      </c>
      <c r="B142" s="20"/>
      <c r="C142" s="31"/>
      <c r="D142" s="31"/>
    </row>
    <row r="143" spans="1:4" ht="15" customHeight="1">
      <c r="A143" s="19" t="s">
        <v>140</v>
      </c>
      <c r="B143" s="20">
        <v>7192</v>
      </c>
      <c r="C143" s="10"/>
      <c r="D143" s="10"/>
    </row>
    <row r="144" spans="1:4" ht="15" customHeight="1">
      <c r="A144" s="22" t="s">
        <v>141</v>
      </c>
      <c r="B144" s="23">
        <v>7192</v>
      </c>
      <c r="C144" s="10"/>
      <c r="D144" s="10"/>
    </row>
    <row r="145" spans="1:4" ht="15" customHeight="1">
      <c r="A145" s="19" t="s">
        <v>142</v>
      </c>
      <c r="B145" s="20">
        <v>2161</v>
      </c>
      <c r="C145" s="10"/>
      <c r="D145" s="10"/>
    </row>
    <row r="146" spans="1:4" ht="15" customHeight="1">
      <c r="A146" s="22" t="s">
        <v>143</v>
      </c>
      <c r="B146" s="23">
        <v>9353</v>
      </c>
      <c r="C146" s="10"/>
      <c r="D146" s="10"/>
    </row>
    <row r="147" spans="1:4" ht="15" customHeight="1">
      <c r="A147" s="22" t="s">
        <v>144</v>
      </c>
      <c r="B147" s="23">
        <v>400147</v>
      </c>
      <c r="C147" s="31"/>
      <c r="D147" s="31"/>
    </row>
    <row r="148" spans="1:4" ht="15" hidden="1" customHeight="1">
      <c r="A148" s="19" t="s">
        <v>145</v>
      </c>
      <c r="B148" s="20">
        <v>0</v>
      </c>
      <c r="C148" s="10"/>
      <c r="D148" s="10"/>
    </row>
    <row r="149" spans="1:4" ht="15" customHeight="1">
      <c r="A149" s="22" t="s">
        <v>146</v>
      </c>
      <c r="B149" s="23">
        <v>400147</v>
      </c>
      <c r="C149" s="10"/>
      <c r="D149" s="10"/>
    </row>
    <row r="150" spans="1:4" ht="15" hidden="1" customHeight="1">
      <c r="A150" s="19" t="s">
        <v>147</v>
      </c>
      <c r="B150" s="20"/>
      <c r="C150" s="10"/>
      <c r="D150" s="10"/>
    </row>
    <row r="151" spans="1:4" ht="15" customHeight="1">
      <c r="A151" s="19" t="s">
        <v>148</v>
      </c>
      <c r="B151" s="20">
        <v>108203</v>
      </c>
      <c r="C151" s="28"/>
      <c r="D151" s="28"/>
    </row>
    <row r="152" spans="1:4" ht="15" customHeight="1">
      <c r="A152" s="22" t="s">
        <v>149</v>
      </c>
      <c r="B152" s="23">
        <v>108203</v>
      </c>
    </row>
    <row r="153" spans="1:4" ht="15" customHeight="1">
      <c r="A153" s="22" t="s">
        <v>150</v>
      </c>
      <c r="B153" s="23">
        <v>949803</v>
      </c>
    </row>
    <row r="154" spans="1:4" ht="15" customHeight="1">
      <c r="A154" s="19" t="s">
        <v>151</v>
      </c>
      <c r="B154" s="20"/>
    </row>
    <row r="155" spans="1:4" ht="15" hidden="1" customHeight="1">
      <c r="A155" s="19" t="s">
        <v>152</v>
      </c>
      <c r="B155" s="20"/>
    </row>
    <row r="156" spans="1:4" ht="15" hidden="1" customHeight="1">
      <c r="A156" s="19" t="s">
        <v>153</v>
      </c>
      <c r="B156" s="20"/>
    </row>
    <row r="157" spans="1:4" ht="15" hidden="1" customHeight="1">
      <c r="A157" s="19" t="s">
        <v>154</v>
      </c>
      <c r="B157" s="20"/>
    </row>
    <row r="158" spans="1:4" ht="15" hidden="1" customHeight="1">
      <c r="A158" s="19" t="s">
        <v>155</v>
      </c>
      <c r="B158" s="20"/>
    </row>
    <row r="159" spans="1:4" ht="15" customHeight="1">
      <c r="A159" s="19" t="s">
        <v>156</v>
      </c>
      <c r="B159" s="20">
        <v>0</v>
      </c>
    </row>
    <row r="160" spans="1:4" ht="15" customHeight="1">
      <c r="A160" s="22" t="s">
        <v>157</v>
      </c>
      <c r="B160" s="23">
        <v>0</v>
      </c>
    </row>
    <row r="161" spans="1:2" ht="15" customHeight="1">
      <c r="A161" s="19" t="s">
        <v>158</v>
      </c>
      <c r="B161" s="20">
        <v>21945</v>
      </c>
    </row>
    <row r="162" spans="1:2" ht="15" customHeight="1">
      <c r="A162" s="22" t="s">
        <v>159</v>
      </c>
      <c r="B162" s="23">
        <v>21945</v>
      </c>
    </row>
    <row r="163" spans="1:2" ht="15" customHeight="1">
      <c r="A163" s="22" t="s">
        <v>160</v>
      </c>
      <c r="B163" s="23">
        <v>21945</v>
      </c>
    </row>
    <row r="164" spans="1:2" ht="15" customHeight="1">
      <c r="A164" s="19" t="s">
        <v>161</v>
      </c>
      <c r="B164" s="20">
        <v>8792</v>
      </c>
    </row>
    <row r="165" spans="1:2" ht="15" customHeight="1">
      <c r="A165" s="19" t="s">
        <v>162</v>
      </c>
      <c r="B165" s="20"/>
    </row>
    <row r="166" spans="1:2" ht="15" customHeight="1">
      <c r="A166" s="19" t="s">
        <v>163</v>
      </c>
      <c r="B166" s="20">
        <v>142057</v>
      </c>
    </row>
    <row r="167" spans="1:2" ht="15" customHeight="1">
      <c r="A167" s="22" t="s">
        <v>164</v>
      </c>
      <c r="B167" s="23">
        <v>142057</v>
      </c>
    </row>
    <row r="168" spans="1:2" ht="15" customHeight="1">
      <c r="A168" s="22" t="s">
        <v>165</v>
      </c>
      <c r="B168" s="23">
        <v>172794</v>
      </c>
    </row>
    <row r="169" spans="1:2" ht="15" customHeight="1">
      <c r="A169" s="17" t="s">
        <v>166</v>
      </c>
      <c r="B169" s="32">
        <v>1122597</v>
      </c>
    </row>
    <row r="170" spans="1:2" ht="15" customHeight="1">
      <c r="A170" s="17" t="s">
        <v>167</v>
      </c>
      <c r="B170" s="18" t="s">
        <v>8</v>
      </c>
    </row>
    <row r="171" spans="1:2" ht="15" customHeight="1">
      <c r="A171" s="19" t="s">
        <v>168</v>
      </c>
      <c r="B171" s="20"/>
    </row>
    <row r="172" spans="1:2" ht="15" customHeight="1">
      <c r="A172" s="19" t="s">
        <v>169</v>
      </c>
      <c r="B172" s="20"/>
    </row>
    <row r="173" spans="1:2" ht="15" customHeight="1">
      <c r="A173" s="19" t="s">
        <v>170</v>
      </c>
      <c r="B173" s="20"/>
    </row>
    <row r="174" spans="1:2" ht="15" customHeight="1">
      <c r="A174" s="19" t="s">
        <v>171</v>
      </c>
      <c r="B174" s="20">
        <v>1846990</v>
      </c>
    </row>
    <row r="175" spans="1:2" ht="15" customHeight="1">
      <c r="A175" s="22" t="s">
        <v>172</v>
      </c>
      <c r="B175" s="23">
        <v>1846990</v>
      </c>
    </row>
    <row r="176" spans="1:2" ht="15" customHeight="1">
      <c r="A176" s="19" t="s">
        <v>173</v>
      </c>
      <c r="B176" s="25">
        <v>-1412270</v>
      </c>
    </row>
    <row r="177" spans="1:2" ht="15" customHeight="1">
      <c r="A177" s="22" t="s">
        <v>174</v>
      </c>
      <c r="B177" s="23">
        <v>434720</v>
      </c>
    </row>
    <row r="178" spans="1:2" ht="15" customHeight="1">
      <c r="A178" s="19" t="s">
        <v>175</v>
      </c>
      <c r="B178" s="20">
        <v>40554</v>
      </c>
    </row>
    <row r="179" spans="1:2" ht="15" customHeight="1">
      <c r="A179" s="19" t="s">
        <v>176</v>
      </c>
      <c r="B179" s="20">
        <v>4080821</v>
      </c>
    </row>
    <row r="180" spans="1:2" ht="15" customHeight="1">
      <c r="A180" s="19" t="s">
        <v>177</v>
      </c>
      <c r="B180" s="20"/>
    </row>
    <row r="181" spans="1:2" ht="15" customHeight="1">
      <c r="A181" s="19" t="s">
        <v>178</v>
      </c>
      <c r="B181" s="20">
        <v>26260</v>
      </c>
    </row>
    <row r="182" spans="1:2" ht="15" customHeight="1">
      <c r="A182" s="19" t="s">
        <v>179</v>
      </c>
      <c r="B182" s="20">
        <v>41044</v>
      </c>
    </row>
    <row r="183" spans="1:2" ht="15" customHeight="1">
      <c r="A183" s="19" t="s">
        <v>180</v>
      </c>
      <c r="B183" s="20">
        <v>16648</v>
      </c>
    </row>
    <row r="184" spans="1:2" ht="15" customHeight="1">
      <c r="A184" s="19" t="s">
        <v>181</v>
      </c>
      <c r="B184" s="25">
        <v>-10073</v>
      </c>
    </row>
    <row r="185" spans="1:2" ht="15" customHeight="1">
      <c r="A185" s="19" t="s">
        <v>182</v>
      </c>
      <c r="B185" s="19"/>
    </row>
    <row r="186" spans="1:2" ht="15" customHeight="1">
      <c r="A186" s="22" t="s">
        <v>183</v>
      </c>
      <c r="B186" s="23">
        <v>73879</v>
      </c>
    </row>
    <row r="187" spans="1:2" ht="15" customHeight="1">
      <c r="A187" s="19" t="s">
        <v>184</v>
      </c>
      <c r="B187" s="20">
        <v>1175694</v>
      </c>
    </row>
    <row r="188" spans="1:2" ht="15" customHeight="1">
      <c r="A188" s="22" t="s">
        <v>185</v>
      </c>
      <c r="B188" s="23">
        <v>5805668</v>
      </c>
    </row>
    <row r="189" spans="1:2" ht="15" customHeight="1">
      <c r="A189" s="19" t="s">
        <v>186</v>
      </c>
      <c r="B189" s="20">
        <v>29828</v>
      </c>
    </row>
    <row r="190" spans="1:2" ht="15" customHeight="1">
      <c r="A190" s="17" t="s">
        <v>187</v>
      </c>
      <c r="B190" s="32">
        <v>5835496</v>
      </c>
    </row>
    <row r="191" spans="1:2" ht="15" customHeight="1">
      <c r="A191" s="17" t="s">
        <v>188</v>
      </c>
      <c r="B191" s="34" t="s">
        <v>8</v>
      </c>
    </row>
    <row r="192" spans="1:2" ht="15" customHeight="1">
      <c r="A192" s="19" t="s">
        <v>189</v>
      </c>
      <c r="B192" s="20"/>
    </row>
    <row r="193" spans="1:2" ht="15" customHeight="1">
      <c r="A193" s="19" t="s">
        <v>190</v>
      </c>
      <c r="B193" s="20">
        <v>8011056934</v>
      </c>
    </row>
    <row r="194" spans="1:2" ht="15" customHeight="1">
      <c r="A194" s="19" t="s">
        <v>191</v>
      </c>
      <c r="B194" s="20">
        <v>199764300</v>
      </c>
    </row>
    <row r="195" spans="1:2" ht="15" customHeight="1">
      <c r="A195" s="22" t="s">
        <v>192</v>
      </c>
      <c r="B195" s="23">
        <v>8210821234</v>
      </c>
    </row>
    <row r="196" spans="1:2" ht="15" customHeight="1">
      <c r="A196" s="17" t="s">
        <v>193</v>
      </c>
      <c r="B196" s="34" t="s">
        <v>8</v>
      </c>
    </row>
    <row r="197" spans="1:2" ht="15" customHeight="1">
      <c r="A197" s="19" t="s">
        <v>194</v>
      </c>
      <c r="B197" s="20"/>
    </row>
    <row r="198" spans="1:2" ht="15" customHeight="1">
      <c r="A198" s="19" t="s">
        <v>195</v>
      </c>
      <c r="B198" s="20"/>
    </row>
    <row r="199" spans="1:2" ht="15" customHeight="1">
      <c r="A199" s="19" t="s">
        <v>196</v>
      </c>
      <c r="B199" s="20"/>
    </row>
    <row r="200" spans="1:2" ht="15" customHeight="1">
      <c r="A200" s="19" t="s">
        <v>197</v>
      </c>
      <c r="B200" s="20"/>
    </row>
    <row r="201" spans="1:2" ht="15" customHeight="1">
      <c r="A201" s="19" t="s">
        <v>198</v>
      </c>
      <c r="B201" s="20"/>
    </row>
    <row r="202" spans="1:2" ht="15" customHeight="1">
      <c r="A202" s="22" t="s">
        <v>199</v>
      </c>
      <c r="B202" s="23" t="s">
        <v>8</v>
      </c>
    </row>
    <row r="203" spans="1:2" ht="15" customHeight="1">
      <c r="A203" s="19" t="s">
        <v>200</v>
      </c>
      <c r="B203" s="20"/>
    </row>
    <row r="204" spans="1:2" ht="15" customHeight="1">
      <c r="A204" s="19" t="s">
        <v>201</v>
      </c>
      <c r="B204" s="20">
        <v>3137</v>
      </c>
    </row>
    <row r="205" spans="1:2" ht="15" customHeight="1">
      <c r="A205" s="19" t="s">
        <v>202</v>
      </c>
      <c r="B205" s="20">
        <v>10062</v>
      </c>
    </row>
    <row r="206" spans="1:2" ht="15" customHeight="1">
      <c r="A206" s="19" t="s">
        <v>203</v>
      </c>
      <c r="B206" s="20">
        <v>24321</v>
      </c>
    </row>
    <row r="207" spans="1:2" ht="15" customHeight="1">
      <c r="A207" s="19" t="s">
        <v>204</v>
      </c>
      <c r="B207" s="25">
        <v>-13414</v>
      </c>
    </row>
    <row r="208" spans="1:2" ht="15" customHeight="1">
      <c r="A208" s="22" t="s">
        <v>205</v>
      </c>
      <c r="B208" s="23">
        <v>24106</v>
      </c>
    </row>
    <row r="209" spans="1:2" ht="15" customHeight="1">
      <c r="A209" s="19" t="s">
        <v>206</v>
      </c>
      <c r="B209" s="20"/>
    </row>
    <row r="210" spans="1:2" ht="15" customHeight="1">
      <c r="A210" s="19" t="s">
        <v>207</v>
      </c>
      <c r="B210" s="20">
        <v>3137</v>
      </c>
    </row>
    <row r="211" spans="1:2" ht="15" customHeight="1">
      <c r="A211" s="19" t="s">
        <v>208</v>
      </c>
      <c r="B211" s="20">
        <v>10062</v>
      </c>
    </row>
    <row r="212" spans="1:2" ht="15" customHeight="1">
      <c r="A212" s="19" t="s">
        <v>209</v>
      </c>
      <c r="B212" s="20">
        <v>24321</v>
      </c>
    </row>
    <row r="213" spans="1:2" ht="15" customHeight="1">
      <c r="A213" s="19" t="s">
        <v>210</v>
      </c>
      <c r="B213" s="25">
        <v>-13414</v>
      </c>
    </row>
    <row r="214" spans="1:2" ht="15" customHeight="1">
      <c r="A214" s="22" t="s">
        <v>211</v>
      </c>
      <c r="B214" s="23">
        <v>24106</v>
      </c>
    </row>
    <row r="215" spans="1:2" ht="15" customHeight="1">
      <c r="A215" s="19" t="s">
        <v>212</v>
      </c>
      <c r="B215" s="20"/>
    </row>
    <row r="216" spans="1:2" ht="15" customHeight="1">
      <c r="A216" s="19" t="s">
        <v>213</v>
      </c>
      <c r="B216" s="20">
        <v>3137</v>
      </c>
    </row>
    <row r="217" spans="1:2" ht="15" customHeight="1">
      <c r="A217" s="19" t="s">
        <v>214</v>
      </c>
      <c r="B217" s="20"/>
    </row>
    <row r="218" spans="1:2" ht="15" customHeight="1">
      <c r="A218" s="19" t="s">
        <v>215</v>
      </c>
      <c r="B218" s="20">
        <v>10062</v>
      </c>
    </row>
    <row r="219" spans="1:2" ht="15" customHeight="1">
      <c r="A219" s="19" t="s">
        <v>216</v>
      </c>
      <c r="B219" s="20">
        <v>24321</v>
      </c>
    </row>
    <row r="220" spans="1:2" ht="15" customHeight="1">
      <c r="A220" s="19" t="s">
        <v>217</v>
      </c>
      <c r="B220" s="25">
        <v>-13414</v>
      </c>
    </row>
    <row r="221" spans="1:2" ht="15" customHeight="1">
      <c r="A221" s="22" t="s">
        <v>218</v>
      </c>
      <c r="B221" s="23">
        <v>24106</v>
      </c>
    </row>
    <row r="222" spans="1:2" ht="15" customHeight="1">
      <c r="A222" s="17" t="s">
        <v>219</v>
      </c>
      <c r="B222" s="34" t="s">
        <v>8</v>
      </c>
    </row>
    <row r="223" spans="1:2" ht="15" customHeight="1">
      <c r="A223" s="19" t="s">
        <v>220</v>
      </c>
      <c r="B223" s="20">
        <v>422092</v>
      </c>
    </row>
    <row r="224" spans="1:2" ht="15" customHeight="1">
      <c r="A224" s="19" t="s">
        <v>221</v>
      </c>
      <c r="B224" s="25">
        <v>-511133</v>
      </c>
    </row>
    <row r="225" spans="1:2" ht="15" customHeight="1">
      <c r="A225" s="19" t="s">
        <v>222</v>
      </c>
      <c r="B225" s="20">
        <v>24106</v>
      </c>
    </row>
    <row r="226" spans="1:2" ht="15" customHeight="1">
      <c r="A226" s="19" t="s">
        <v>223</v>
      </c>
      <c r="B226" s="20">
        <v>4589420</v>
      </c>
    </row>
    <row r="227" spans="1:2" ht="15" customHeight="1">
      <c r="A227" s="19" t="s">
        <v>224</v>
      </c>
      <c r="B227" s="20">
        <v>6958093</v>
      </c>
    </row>
    <row r="228" spans="1:2" ht="15" customHeight="1">
      <c r="A228" s="19" t="s">
        <v>225</v>
      </c>
      <c r="B228" s="20">
        <v>6096911</v>
      </c>
    </row>
    <row r="229" spans="1:2" ht="15" customHeight="1">
      <c r="A229" s="19" t="s">
        <v>226</v>
      </c>
      <c r="B229" s="20">
        <v>4974314</v>
      </c>
    </row>
    <row r="230" spans="1:2" ht="15" customHeight="1">
      <c r="A230" s="19" t="s">
        <v>227</v>
      </c>
      <c r="B230" s="20">
        <v>881604</v>
      </c>
    </row>
    <row r="231" spans="1:2" ht="15" customHeight="1">
      <c r="A231" s="19" t="s">
        <v>228</v>
      </c>
      <c r="B231" s="20">
        <v>6257588</v>
      </c>
    </row>
    <row r="232" spans="1:2" ht="15" customHeight="1">
      <c r="A232" s="19" t="s">
        <v>229</v>
      </c>
      <c r="B232" s="20">
        <v>8011013834</v>
      </c>
    </row>
    <row r="233" spans="1:2" ht="15" customHeight="1">
      <c r="A233" s="19" t="s">
        <v>230</v>
      </c>
      <c r="B233" s="20">
        <v>11000</v>
      </c>
    </row>
    <row r="234" spans="1:2" ht="15" customHeight="1">
      <c r="A234" s="17" t="s">
        <v>231</v>
      </c>
      <c r="B234" s="34" t="s">
        <v>8</v>
      </c>
    </row>
    <row r="235" spans="1:2" ht="15" customHeight="1">
      <c r="A235" s="19" t="s">
        <v>232</v>
      </c>
      <c r="B235" s="35">
        <v>0.56999999999999995</v>
      </c>
    </row>
    <row r="236" spans="1:2" ht="15" customHeight="1">
      <c r="A236" s="19" t="s">
        <v>233</v>
      </c>
      <c r="B236" s="35">
        <v>0.04</v>
      </c>
    </row>
    <row r="237" spans="1:2" ht="15" customHeight="1">
      <c r="A237" s="19" t="s">
        <v>234</v>
      </c>
      <c r="B237" s="35">
        <v>0.12</v>
      </c>
    </row>
    <row r="238" spans="1:2" ht="15" customHeight="1">
      <c r="A238" s="19" t="s">
        <v>235</v>
      </c>
      <c r="B238" s="35">
        <v>0.11</v>
      </c>
    </row>
    <row r="239" spans="1:2" ht="15" customHeight="1">
      <c r="A239" s="19" t="s">
        <v>236</v>
      </c>
      <c r="B239" s="35">
        <v>0.87</v>
      </c>
    </row>
    <row r="240" spans="1:2" ht="15" customHeight="1">
      <c r="A240" s="17" t="s">
        <v>237</v>
      </c>
      <c r="B240" s="34" t="s">
        <v>8</v>
      </c>
    </row>
    <row r="241" spans="1:2" ht="15" customHeight="1">
      <c r="A241" s="19" t="s">
        <v>238</v>
      </c>
      <c r="B241" s="36" t="s">
        <v>239</v>
      </c>
    </row>
    <row r="242" spans="1:2" ht="15" customHeight="1">
      <c r="A242" s="19" t="s">
        <v>240</v>
      </c>
      <c r="B242" s="36" t="s">
        <v>239</v>
      </c>
    </row>
    <row r="243" spans="1:2" ht="15" customHeight="1">
      <c r="A243" s="19" t="s">
        <v>241</v>
      </c>
      <c r="B243" s="36" t="s">
        <v>242</v>
      </c>
    </row>
    <row r="244" spans="1:2" ht="15" customHeight="1">
      <c r="A244" s="19" t="s">
        <v>243</v>
      </c>
      <c r="B244" s="36" t="s">
        <v>239</v>
      </c>
    </row>
    <row r="245" spans="1:2" ht="16.5" customHeight="1"/>
    <row r="246" spans="1:2" ht="16.5" customHeight="1">
      <c r="A246" t="s">
        <v>244</v>
      </c>
    </row>
    <row r="247" spans="1:2" ht="15" customHeight="1">
      <c r="A247" s="17" t="s">
        <v>245</v>
      </c>
      <c r="B247" s="18" t="s">
        <v>8</v>
      </c>
    </row>
    <row r="248" spans="1:2" ht="15" customHeight="1">
      <c r="A248" s="19" t="s">
        <v>246</v>
      </c>
      <c r="B248" s="19"/>
    </row>
    <row r="249" spans="1:2" ht="15" customHeight="1">
      <c r="A249" s="19" t="s">
        <v>247</v>
      </c>
      <c r="B249" s="20"/>
    </row>
    <row r="250" spans="1:2" ht="15" customHeight="1">
      <c r="A250" s="19" t="s">
        <v>248</v>
      </c>
      <c r="B250" s="25">
        <v>-31341</v>
      </c>
    </row>
    <row r="251" spans="1:2" ht="15" customHeight="1">
      <c r="A251" s="19" t="s">
        <v>249</v>
      </c>
      <c r="B251" s="20"/>
    </row>
    <row r="252" spans="1:2" ht="15" customHeight="1">
      <c r="A252" s="19" t="s">
        <v>250</v>
      </c>
      <c r="B252" s="19"/>
    </row>
    <row r="253" spans="1:2" ht="15" customHeight="1">
      <c r="A253" s="19" t="s">
        <v>251</v>
      </c>
      <c r="B253" s="19"/>
    </row>
    <row r="254" spans="1:2" ht="15" customHeight="1">
      <c r="A254" s="19" t="s">
        <v>252</v>
      </c>
      <c r="B254" s="20"/>
    </row>
    <row r="255" spans="1:2" ht="15" customHeight="1">
      <c r="A255" s="19" t="s">
        <v>253</v>
      </c>
      <c r="B255" s="20"/>
    </row>
    <row r="256" spans="1:2" ht="15" customHeight="1">
      <c r="A256" s="22" t="s">
        <v>254</v>
      </c>
      <c r="B256" s="23">
        <v>287492</v>
      </c>
    </row>
    <row r="257" spans="1:2" ht="15" customHeight="1">
      <c r="A257" s="22" t="s">
        <v>255</v>
      </c>
      <c r="B257" s="23">
        <v>287492</v>
      </c>
    </row>
    <row r="258" spans="1:2" ht="15" customHeight="1">
      <c r="A258" s="19" t="s">
        <v>256</v>
      </c>
      <c r="B258" s="20"/>
    </row>
    <row r="259" spans="1:2" ht="15" customHeight="1">
      <c r="A259" s="19" t="s">
        <v>257</v>
      </c>
      <c r="B259" s="19"/>
    </row>
    <row r="260" spans="1:2" ht="15" customHeight="1">
      <c r="A260" s="19" t="s">
        <v>258</v>
      </c>
      <c r="B260" s="20"/>
    </row>
    <row r="261" spans="1:2" ht="15" customHeight="1">
      <c r="A261" s="19" t="s">
        <v>259</v>
      </c>
      <c r="B261" s="19"/>
    </row>
    <row r="262" spans="1:2" ht="15" customHeight="1">
      <c r="A262" s="19" t="s">
        <v>260</v>
      </c>
      <c r="B262" s="19"/>
    </row>
    <row r="263" spans="1:2" ht="15" customHeight="1">
      <c r="A263" s="19" t="s">
        <v>261</v>
      </c>
      <c r="B263" s="19"/>
    </row>
    <row r="264" spans="1:2" ht="15" customHeight="1">
      <c r="A264" s="19" t="s">
        <v>262</v>
      </c>
      <c r="B264" s="19"/>
    </row>
    <row r="265" spans="1:2" ht="15" customHeight="1">
      <c r="A265" s="19" t="s">
        <v>263</v>
      </c>
      <c r="B265" s="19"/>
    </row>
    <row r="266" spans="1:2" ht="15" customHeight="1">
      <c r="A266" s="19" t="s">
        <v>264</v>
      </c>
      <c r="B266" s="19"/>
    </row>
    <row r="267" spans="1:2" ht="15" customHeight="1">
      <c r="A267" s="19" t="s">
        <v>265</v>
      </c>
      <c r="B267" s="19"/>
    </row>
    <row r="268" spans="1:2" ht="15" customHeight="1">
      <c r="A268" s="19" t="s">
        <v>266</v>
      </c>
      <c r="B268" s="19"/>
    </row>
    <row r="269" spans="1:2" ht="15" customHeight="1">
      <c r="A269" s="19" t="s">
        <v>267</v>
      </c>
      <c r="B269" s="19"/>
    </row>
    <row r="270" spans="1:2" ht="15" customHeight="1">
      <c r="A270" s="22" t="s">
        <v>268</v>
      </c>
      <c r="B270" s="23" t="s">
        <v>8</v>
      </c>
    </row>
    <row r="271" spans="1:2" ht="15" customHeight="1">
      <c r="A271" s="19" t="s">
        <v>269</v>
      </c>
      <c r="B271" s="20"/>
    </row>
    <row r="272" spans="1:2" ht="15" customHeight="1">
      <c r="A272" s="19" t="s">
        <v>270</v>
      </c>
      <c r="B272" s="20"/>
    </row>
    <row r="273" spans="1:2" ht="15" customHeight="1">
      <c r="A273" s="19" t="s">
        <v>271</v>
      </c>
      <c r="B273" s="19"/>
    </row>
    <row r="274" spans="1:2" ht="15" customHeight="1">
      <c r="A274" s="19" t="s">
        <v>272</v>
      </c>
      <c r="B274" s="19"/>
    </row>
    <row r="275" spans="1:2" ht="15" customHeight="1">
      <c r="A275" s="22" t="s">
        <v>273</v>
      </c>
      <c r="B275" s="23" t="s">
        <v>8</v>
      </c>
    </row>
    <row r="276" spans="1:2" ht="15" customHeight="1">
      <c r="A276" s="19" t="s">
        <v>274</v>
      </c>
      <c r="B276" s="19"/>
    </row>
    <row r="277" spans="1:2" ht="15" customHeight="1">
      <c r="A277" s="19" t="s">
        <v>275</v>
      </c>
      <c r="B277" s="19"/>
    </row>
    <row r="278" spans="1:2" ht="15" customHeight="1">
      <c r="A278" s="19" t="s">
        <v>276</v>
      </c>
      <c r="B278" s="20"/>
    </row>
    <row r="279" spans="1:2" ht="15" customHeight="1">
      <c r="A279" s="19" t="s">
        <v>277</v>
      </c>
      <c r="B279" s="19"/>
    </row>
    <row r="280" spans="1:2" ht="15" customHeight="1">
      <c r="A280" s="22" t="s">
        <v>278</v>
      </c>
      <c r="B280" s="23" t="s">
        <v>8</v>
      </c>
    </row>
    <row r="281" spans="1:2" ht="15" customHeight="1">
      <c r="A281" s="19" t="s">
        <v>279</v>
      </c>
      <c r="B281" s="25">
        <v>-166767</v>
      </c>
    </row>
    <row r="282" spans="1:2" ht="15" customHeight="1">
      <c r="A282" s="22" t="s">
        <v>280</v>
      </c>
      <c r="B282" s="23">
        <v>120725</v>
      </c>
    </row>
    <row r="283" spans="1:2" ht="15" customHeight="1">
      <c r="A283" s="19" t="s">
        <v>281</v>
      </c>
      <c r="B283" s="20"/>
    </row>
    <row r="284" spans="1:2" ht="15" customHeight="1">
      <c r="A284" s="19" t="s">
        <v>282</v>
      </c>
      <c r="B284" s="20"/>
    </row>
    <row r="285" spans="1:2" ht="15" customHeight="1">
      <c r="A285" s="19" t="s">
        <v>283</v>
      </c>
      <c r="B285" s="20"/>
    </row>
    <row r="286" spans="1:2" ht="15" customHeight="1">
      <c r="A286" s="19" t="s">
        <v>284</v>
      </c>
      <c r="B286" s="25">
        <v>-199080</v>
      </c>
    </row>
    <row r="287" spans="1:2" ht="15" customHeight="1">
      <c r="A287" s="19" t="s">
        <v>285</v>
      </c>
      <c r="B287" s="20"/>
    </row>
    <row r="288" spans="1:2" ht="15" customHeight="1">
      <c r="A288" s="19" t="s">
        <v>286</v>
      </c>
      <c r="B288" s="20"/>
    </row>
    <row r="289" spans="1:2" ht="15" customHeight="1">
      <c r="A289" s="22" t="s">
        <v>287</v>
      </c>
      <c r="B289" s="23" t="s">
        <v>8</v>
      </c>
    </row>
    <row r="290" spans="1:2" ht="15" customHeight="1">
      <c r="A290" s="19" t="s">
        <v>288</v>
      </c>
      <c r="B290" s="20"/>
    </row>
    <row r="291" spans="1:2" ht="15" customHeight="1">
      <c r="A291" s="19" t="s">
        <v>289</v>
      </c>
      <c r="B291" s="20">
        <v>161335</v>
      </c>
    </row>
    <row r="292" spans="1:2" ht="15" customHeight="1">
      <c r="A292" s="22" t="s">
        <v>290</v>
      </c>
      <c r="B292" s="26">
        <v>-37745</v>
      </c>
    </row>
    <row r="293" spans="1:2" ht="15" customHeight="1">
      <c r="A293" s="22" t="s">
        <v>291</v>
      </c>
      <c r="B293" s="23">
        <v>51639</v>
      </c>
    </row>
    <row r="294" spans="1:2" ht="15" customHeight="1">
      <c r="A294" s="19" t="s">
        <v>292</v>
      </c>
      <c r="B294" s="25">
        <v>-9941</v>
      </c>
    </row>
    <row r="295" spans="1:2" ht="15" customHeight="1">
      <c r="A295" s="19" t="s">
        <v>293</v>
      </c>
      <c r="B295" s="25">
        <v>-20996</v>
      </c>
    </row>
    <row r="296" spans="1:2" ht="15" customHeight="1">
      <c r="A296" s="22" t="s">
        <v>294</v>
      </c>
      <c r="B296" s="23">
        <v>20702</v>
      </c>
    </row>
    <row r="297" spans="1:2" ht="15" customHeight="1">
      <c r="A297" s="17" t="s">
        <v>295</v>
      </c>
      <c r="B297" s="32">
        <v>20702</v>
      </c>
    </row>
    <row r="298" spans="1:2" ht="15" customHeight="1">
      <c r="A298" s="17" t="s">
        <v>296</v>
      </c>
      <c r="B298" s="18" t="s">
        <v>8</v>
      </c>
    </row>
    <row r="299" spans="1:2" ht="15" customHeight="1">
      <c r="A299" s="19" t="s">
        <v>297</v>
      </c>
      <c r="B299" s="20"/>
    </row>
    <row r="300" spans="1:2" ht="15" customHeight="1">
      <c r="A300" s="19" t="s">
        <v>298</v>
      </c>
      <c r="B300" s="20"/>
    </row>
    <row r="301" spans="1:2" ht="15" customHeight="1">
      <c r="A301" s="19" t="s">
        <v>299</v>
      </c>
      <c r="B301" s="19"/>
    </row>
    <row r="302" spans="1:2" ht="15" customHeight="1">
      <c r="A302" s="19" t="s">
        <v>300</v>
      </c>
      <c r="B302" s="19"/>
    </row>
    <row r="303" spans="1:2" ht="15" customHeight="1">
      <c r="A303" s="22" t="s">
        <v>301</v>
      </c>
      <c r="B303" s="23" t="s">
        <v>8</v>
      </c>
    </row>
    <row r="304" spans="1:2" ht="15" customHeight="1">
      <c r="A304" s="19" t="s">
        <v>302</v>
      </c>
      <c r="B304" s="19"/>
    </row>
    <row r="305" spans="1:2" ht="15" customHeight="1">
      <c r="A305" s="19" t="s">
        <v>303</v>
      </c>
      <c r="B305" s="25">
        <v>-145334</v>
      </c>
    </row>
    <row r="306" spans="1:2" ht="15" customHeight="1">
      <c r="A306" s="19" t="s">
        <v>304</v>
      </c>
      <c r="B306" s="20">
        <v>343218</v>
      </c>
    </row>
    <row r="307" spans="1:2" ht="15" customHeight="1">
      <c r="A307" s="22" t="s">
        <v>305</v>
      </c>
      <c r="B307" s="23">
        <v>197884</v>
      </c>
    </row>
    <row r="308" spans="1:2" ht="15" customHeight="1">
      <c r="A308" s="19" t="s">
        <v>306</v>
      </c>
      <c r="B308" s="20"/>
    </row>
    <row r="309" spans="1:2" ht="15" customHeight="1">
      <c r="A309" s="19" t="s">
        <v>307</v>
      </c>
      <c r="B309" s="20"/>
    </row>
    <row r="310" spans="1:2" ht="15" customHeight="1">
      <c r="A310" s="22" t="s">
        <v>308</v>
      </c>
      <c r="B310" s="23" t="s">
        <v>8</v>
      </c>
    </row>
    <row r="311" spans="1:2" ht="15" customHeight="1">
      <c r="A311" s="19" t="s">
        <v>309</v>
      </c>
      <c r="B311" s="20"/>
    </row>
    <row r="312" spans="1:2" ht="15" customHeight="1">
      <c r="A312" s="19" t="s">
        <v>310</v>
      </c>
      <c r="B312" s="20"/>
    </row>
    <row r="313" spans="1:2" ht="15" customHeight="1">
      <c r="A313" s="19" t="s">
        <v>311</v>
      </c>
      <c r="B313" s="20"/>
    </row>
    <row r="314" spans="1:2" ht="15" customHeight="1">
      <c r="A314" s="22" t="s">
        <v>312</v>
      </c>
      <c r="B314" s="23" t="s">
        <v>8</v>
      </c>
    </row>
    <row r="315" spans="1:2" ht="15" customHeight="1">
      <c r="A315" s="19" t="s">
        <v>313</v>
      </c>
      <c r="B315" s="20"/>
    </row>
    <row r="316" spans="1:2" ht="15" customHeight="1">
      <c r="A316" s="19" t="s">
        <v>314</v>
      </c>
      <c r="B316" s="20"/>
    </row>
    <row r="317" spans="1:2" ht="15" customHeight="1">
      <c r="A317" s="19" t="s">
        <v>315</v>
      </c>
      <c r="B317" s="20"/>
    </row>
    <row r="318" spans="1:2" ht="15" customHeight="1">
      <c r="A318" s="22" t="s">
        <v>316</v>
      </c>
      <c r="B318" s="23" t="s">
        <v>8</v>
      </c>
    </row>
    <row r="319" spans="1:2" ht="15" customHeight="1">
      <c r="A319" s="19" t="s">
        <v>317</v>
      </c>
      <c r="B319" s="20"/>
    </row>
    <row r="320" spans="1:2" ht="15" customHeight="1">
      <c r="A320" s="19" t="s">
        <v>318</v>
      </c>
      <c r="B320" s="20"/>
    </row>
    <row r="321" spans="1:2" ht="15" customHeight="1">
      <c r="A321" s="19" t="s">
        <v>319</v>
      </c>
      <c r="B321" s="20">
        <v>30127</v>
      </c>
    </row>
    <row r="322" spans="1:2" ht="15" customHeight="1">
      <c r="A322" s="22" t="s">
        <v>320</v>
      </c>
      <c r="B322" s="23">
        <v>30127</v>
      </c>
    </row>
    <row r="323" spans="1:2" ht="15" customHeight="1">
      <c r="A323" s="19" t="s">
        <v>321</v>
      </c>
      <c r="B323" s="20"/>
    </row>
    <row r="324" spans="1:2" ht="15" customHeight="1">
      <c r="A324" s="19" t="s">
        <v>322</v>
      </c>
      <c r="B324" s="20"/>
    </row>
    <row r="325" spans="1:2" ht="15" customHeight="1">
      <c r="A325" s="22" t="s">
        <v>323</v>
      </c>
      <c r="B325" s="23" t="s">
        <v>8</v>
      </c>
    </row>
    <row r="326" spans="1:2" ht="15" customHeight="1">
      <c r="A326" s="19" t="s">
        <v>324</v>
      </c>
      <c r="B326" s="20">
        <v>2805</v>
      </c>
    </row>
    <row r="327" spans="1:2" ht="15" customHeight="1">
      <c r="A327" s="19" t="s">
        <v>325</v>
      </c>
      <c r="B327" s="20"/>
    </row>
    <row r="328" spans="1:2" ht="15" customHeight="1">
      <c r="A328" s="19" t="s">
        <v>326</v>
      </c>
      <c r="B328" s="20">
        <v>12773</v>
      </c>
    </row>
    <row r="329" spans="1:2" ht="15" customHeight="1">
      <c r="A329" s="19" t="s">
        <v>327</v>
      </c>
      <c r="B329" s="20">
        <v>0</v>
      </c>
    </row>
    <row r="330" spans="1:2" ht="15" customHeight="1">
      <c r="A330" s="22" t="s">
        <v>328</v>
      </c>
      <c r="B330" s="23">
        <v>243589</v>
      </c>
    </row>
    <row r="331" spans="1:2" ht="15" customHeight="1">
      <c r="A331" s="17" t="s">
        <v>329</v>
      </c>
      <c r="B331" s="32">
        <v>243589</v>
      </c>
    </row>
    <row r="332" spans="1:2" ht="15" customHeight="1">
      <c r="A332" s="17" t="s">
        <v>330</v>
      </c>
      <c r="B332" s="18" t="s">
        <v>8</v>
      </c>
    </row>
    <row r="333" spans="1:2" ht="15" customHeight="1">
      <c r="A333" s="19" t="s">
        <v>331</v>
      </c>
      <c r="B333" s="20"/>
    </row>
    <row r="334" spans="1:2" ht="15" customHeight="1">
      <c r="A334" s="19" t="s">
        <v>332</v>
      </c>
      <c r="B334" s="20"/>
    </row>
    <row r="335" spans="1:2" ht="15" customHeight="1">
      <c r="A335" s="19" t="s">
        <v>333</v>
      </c>
      <c r="B335" s="20">
        <v>2722</v>
      </c>
    </row>
    <row r="336" spans="1:2" ht="15" customHeight="1">
      <c r="A336" s="19" t="s">
        <v>334</v>
      </c>
      <c r="B336" s="20"/>
    </row>
    <row r="337" spans="1:2" ht="15" customHeight="1">
      <c r="A337" s="22" t="s">
        <v>335</v>
      </c>
      <c r="B337" s="23">
        <v>2722</v>
      </c>
    </row>
    <row r="338" spans="1:2" ht="15" customHeight="1">
      <c r="A338" s="19" t="s">
        <v>336</v>
      </c>
      <c r="B338" s="20"/>
    </row>
    <row r="339" spans="1:2" ht="15" customHeight="1">
      <c r="A339" s="19" t="s">
        <v>337</v>
      </c>
      <c r="B339" s="20"/>
    </row>
    <row r="340" spans="1:2" ht="15" customHeight="1">
      <c r="A340" s="19" t="s">
        <v>338</v>
      </c>
      <c r="B340" s="25">
        <v>-133649</v>
      </c>
    </row>
    <row r="341" spans="1:2" ht="15" customHeight="1">
      <c r="A341" s="22" t="s">
        <v>339</v>
      </c>
      <c r="B341" s="26">
        <v>-133649</v>
      </c>
    </row>
    <row r="342" spans="1:2" ht="15" customHeight="1">
      <c r="A342" s="19" t="s">
        <v>340</v>
      </c>
      <c r="B342" s="20"/>
    </row>
    <row r="343" spans="1:2" ht="15" customHeight="1">
      <c r="A343" s="19" t="s">
        <v>341</v>
      </c>
      <c r="B343" s="20">
        <v>0</v>
      </c>
    </row>
    <row r="344" spans="1:2" ht="15" customHeight="1">
      <c r="A344" s="19" t="s">
        <v>342</v>
      </c>
      <c r="B344" s="20"/>
    </row>
    <row r="345" spans="1:2" ht="15" customHeight="1">
      <c r="A345" s="22" t="s">
        <v>343</v>
      </c>
      <c r="B345" s="23">
        <v>0</v>
      </c>
    </row>
    <row r="346" spans="1:2" ht="15" customHeight="1">
      <c r="A346" s="22" t="s">
        <v>344</v>
      </c>
      <c r="B346" s="26">
        <v>-133649</v>
      </c>
    </row>
    <row r="347" spans="1:2" ht="15" customHeight="1">
      <c r="A347" s="19" t="s">
        <v>345</v>
      </c>
      <c r="B347" s="20"/>
    </row>
    <row r="348" spans="1:2" ht="15" customHeight="1">
      <c r="A348" s="19" t="s">
        <v>346</v>
      </c>
      <c r="B348" s="25">
        <v>-1977</v>
      </c>
    </row>
    <row r="349" spans="1:2" ht="15" customHeight="1">
      <c r="A349" s="22" t="s">
        <v>347</v>
      </c>
      <c r="B349" s="26">
        <v>-1977</v>
      </c>
    </row>
    <row r="350" spans="1:2" ht="15" customHeight="1">
      <c r="A350" s="19" t="s">
        <v>348</v>
      </c>
      <c r="B350" s="20"/>
    </row>
    <row r="351" spans="1:2" ht="15" customHeight="1">
      <c r="A351" s="19" t="s">
        <v>349</v>
      </c>
      <c r="B351" s="20"/>
    </row>
    <row r="352" spans="1:2" ht="15" customHeight="1">
      <c r="A352" s="19" t="s">
        <v>350</v>
      </c>
      <c r="B352" s="20"/>
    </row>
    <row r="353" spans="1:2" ht="15" customHeight="1">
      <c r="A353" s="22" t="s">
        <v>351</v>
      </c>
      <c r="B353" s="23" t="s">
        <v>8</v>
      </c>
    </row>
    <row r="354" spans="1:2" ht="15" customHeight="1">
      <c r="A354" s="19" t="s">
        <v>352</v>
      </c>
      <c r="B354" s="20"/>
    </row>
    <row r="355" spans="1:2" ht="15" customHeight="1">
      <c r="A355" s="19" t="s">
        <v>353</v>
      </c>
      <c r="B355" s="20"/>
    </row>
    <row r="356" spans="1:2" ht="15" customHeight="1">
      <c r="A356" s="19" t="s">
        <v>354</v>
      </c>
      <c r="B356" s="20"/>
    </row>
    <row r="357" spans="1:2" ht="15" customHeight="1">
      <c r="A357" s="22" t="s">
        <v>355</v>
      </c>
      <c r="B357" s="23" t="s">
        <v>8</v>
      </c>
    </row>
    <row r="358" spans="1:2" ht="15" customHeight="1">
      <c r="A358" s="22" t="s">
        <v>356</v>
      </c>
      <c r="B358" s="23" t="s">
        <v>8</v>
      </c>
    </row>
    <row r="359" spans="1:2" ht="15" customHeight="1">
      <c r="A359" s="19" t="s">
        <v>357</v>
      </c>
      <c r="B359" s="25">
        <v>-2145</v>
      </c>
    </row>
    <row r="360" spans="1:2" ht="15" customHeight="1">
      <c r="A360" s="19" t="s">
        <v>358</v>
      </c>
      <c r="B360" s="19"/>
    </row>
    <row r="361" spans="1:2" ht="15" customHeight="1">
      <c r="A361" s="19" t="s">
        <v>359</v>
      </c>
      <c r="B361" s="25">
        <v>-46610</v>
      </c>
    </row>
    <row r="362" spans="1:2" ht="15" customHeight="1">
      <c r="A362" s="22" t="s">
        <v>360</v>
      </c>
      <c r="B362" s="26">
        <v>-181659</v>
      </c>
    </row>
    <row r="363" spans="1:2" ht="15" customHeight="1">
      <c r="A363" s="17" t="s">
        <v>361</v>
      </c>
      <c r="B363" s="37">
        <v>-181659</v>
      </c>
    </row>
    <row r="364" spans="1:2" ht="15" customHeight="1">
      <c r="A364" s="17" t="s">
        <v>362</v>
      </c>
      <c r="B364" s="18" t="s">
        <v>8</v>
      </c>
    </row>
    <row r="365" spans="1:2" ht="15" customHeight="1">
      <c r="A365" s="19" t="s">
        <v>363</v>
      </c>
      <c r="B365" s="20">
        <v>82632</v>
      </c>
    </row>
    <row r="366" spans="1:2" ht="15" customHeight="1">
      <c r="A366" s="19" t="s">
        <v>364</v>
      </c>
      <c r="B366" s="25">
        <v>-16861</v>
      </c>
    </row>
    <row r="367" spans="1:2" ht="15" customHeight="1">
      <c r="A367" s="19" t="s">
        <v>365</v>
      </c>
      <c r="B367" s="20">
        <v>285416</v>
      </c>
    </row>
    <row r="368" spans="1:2" ht="15" customHeight="1">
      <c r="A368" s="17" t="s">
        <v>366</v>
      </c>
      <c r="B368" s="32">
        <v>351187</v>
      </c>
    </row>
    <row r="369" spans="1:4" ht="15" customHeight="1">
      <c r="A369" s="17" t="s">
        <v>367</v>
      </c>
      <c r="B369" s="34" t="s">
        <v>8</v>
      </c>
    </row>
    <row r="370" spans="1:4" ht="15" customHeight="1">
      <c r="A370" s="19" t="s">
        <v>368</v>
      </c>
      <c r="B370" s="20">
        <v>82632</v>
      </c>
    </row>
    <row r="371" spans="1:4" ht="16.5" customHeight="1">
      <c r="A371" s="17" t="s">
        <v>369</v>
      </c>
      <c r="B371" s="34" t="s">
        <v>8</v>
      </c>
      <c r="D371" t="s">
        <v>8</v>
      </c>
    </row>
    <row r="372" spans="1:4" ht="15" customHeight="1">
      <c r="A372" s="19" t="s">
        <v>370</v>
      </c>
      <c r="B372" s="25">
        <v>-80095</v>
      </c>
    </row>
    <row r="373" spans="1:4" ht="15" customHeight="1">
      <c r="A373" s="19" t="s">
        <v>371</v>
      </c>
      <c r="B373" s="25">
        <v>-86887</v>
      </c>
    </row>
    <row r="374" spans="1:4" ht="15" customHeight="1">
      <c r="A374" s="19" t="s">
        <v>372</v>
      </c>
      <c r="B374" s="20">
        <v>2722</v>
      </c>
    </row>
    <row r="375" spans="1:4" ht="15" customHeight="1">
      <c r="A375" s="19" t="s">
        <v>373</v>
      </c>
      <c r="B375" s="20">
        <v>0</v>
      </c>
    </row>
    <row r="376" spans="1:4" ht="15" customHeight="1">
      <c r="A376" s="19" t="s">
        <v>374</v>
      </c>
      <c r="B376" s="25">
        <v>-135626</v>
      </c>
    </row>
    <row r="377" spans="1:4" ht="15" customHeight="1">
      <c r="A377" s="19" t="s">
        <v>375</v>
      </c>
      <c r="B377" s="20">
        <v>0</v>
      </c>
    </row>
    <row r="378" spans="1:4" ht="15" customHeight="1">
      <c r="A378" s="19" t="s">
        <v>376</v>
      </c>
      <c r="B378" s="38">
        <v>-1.49</v>
      </c>
    </row>
    <row r="379" spans="1:4" ht="15" customHeight="1">
      <c r="A379" s="17" t="s">
        <v>231</v>
      </c>
      <c r="B379" s="34" t="s">
        <v>8</v>
      </c>
    </row>
    <row r="380" spans="1:4" ht="15" customHeight="1">
      <c r="A380" s="19" t="s">
        <v>377</v>
      </c>
      <c r="B380" s="39">
        <v>-0.01</v>
      </c>
    </row>
    <row r="381" spans="1:4" ht="15" customHeight="1">
      <c r="A381" s="19" t="s">
        <v>378</v>
      </c>
      <c r="B381" s="35">
        <v>0.01</v>
      </c>
    </row>
    <row r="382" spans="1:4" ht="15" customHeight="1">
      <c r="A382" s="17" t="s">
        <v>237</v>
      </c>
      <c r="B382" s="34" t="s">
        <v>8</v>
      </c>
    </row>
    <row r="383" spans="1:4" ht="15" customHeight="1">
      <c r="A383" s="19" t="s">
        <v>238</v>
      </c>
      <c r="B383" s="36" t="s">
        <v>239</v>
      </c>
    </row>
    <row r="384" spans="1:4" ht="15" customHeight="1">
      <c r="A384" s="19" t="s">
        <v>240</v>
      </c>
      <c r="B384" s="36" t="s">
        <v>239</v>
      </c>
    </row>
    <row r="385" spans="1:2" ht="15" customHeight="1">
      <c r="A385" s="19" t="s">
        <v>241</v>
      </c>
      <c r="B385" s="36" t="s">
        <v>242</v>
      </c>
    </row>
    <row r="386" spans="1:2" ht="15" customHeight="1">
      <c r="A386" s="19" t="s">
        <v>243</v>
      </c>
      <c r="B386" s="36" t="s">
        <v>239</v>
      </c>
    </row>
  </sheetData>
  <hyperlinks>
    <hyperlink ref="B4" r:id="rId1" xr:uid="{00000000-0004-0000-0000-000000000000}"/>
    <hyperlink ref="C4" r:id="rId2" xr:uid="{00000000-0004-0000-0000-000001000000}"/>
    <hyperlink ref="D4" r:id="rId3" xr:uid="{00000000-0004-0000-0000-000002000000}"/>
  </hyperlink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87D68-E4A8-C613-37E8-893AC1149138}">
  <dimension ref="B2:H110"/>
  <sheetViews>
    <sheetView showGridLines="0" topLeftCell="A66" workbookViewId="0">
      <selection activeCell="L86" sqref="L86"/>
    </sheetView>
  </sheetViews>
  <sheetFormatPr baseColWidth="10" defaultColWidth="7.83203125" defaultRowHeight="15" customHeight="1"/>
  <cols>
    <col min="2" max="2" width="35" customWidth="1"/>
    <col min="3" max="8" width="12.5" customWidth="1"/>
  </cols>
  <sheetData>
    <row r="2" spans="2:8" ht="19.5" customHeight="1">
      <c r="B2" s="40" t="s">
        <v>379</v>
      </c>
    </row>
    <row r="3" spans="2:8" ht="14.25" customHeight="1">
      <c r="B3" s="41" t="s">
        <v>380</v>
      </c>
    </row>
    <row r="5" spans="2:8" ht="17.25" customHeight="1">
      <c r="B5" s="42" t="s">
        <v>381</v>
      </c>
    </row>
    <row r="7" spans="2:8" ht="15" customHeight="1">
      <c r="C7" s="43" t="s">
        <v>382</v>
      </c>
      <c r="D7" s="43" t="s">
        <v>383</v>
      </c>
      <c r="E7" s="43" t="s">
        <v>384</v>
      </c>
      <c r="F7" s="43" t="s">
        <v>385</v>
      </c>
      <c r="G7" s="43" t="s">
        <v>386</v>
      </c>
      <c r="H7" s="43" t="s">
        <v>387</v>
      </c>
    </row>
    <row r="8" spans="2:8" ht="15" customHeight="1">
      <c r="C8" s="43" t="s">
        <v>3</v>
      </c>
      <c r="D8" s="43" t="s">
        <v>4</v>
      </c>
      <c r="E8" s="43" t="s">
        <v>388</v>
      </c>
      <c r="F8" s="43" t="s">
        <v>389</v>
      </c>
      <c r="G8" s="43" t="s">
        <v>390</v>
      </c>
      <c r="H8" s="43" t="s">
        <v>391</v>
      </c>
    </row>
    <row r="9" spans="2:8" ht="15" hidden="1" customHeight="1"/>
    <row r="10" spans="2:8" ht="16.5" customHeight="1">
      <c r="B10" t="s">
        <v>392</v>
      </c>
      <c r="D10" s="44">
        <v>0.15</v>
      </c>
      <c r="E10" s="44">
        <v>0.15</v>
      </c>
      <c r="F10" s="44">
        <v>0.1</v>
      </c>
      <c r="G10" s="44">
        <v>0.1</v>
      </c>
      <c r="H10" s="44">
        <v>0.05</v>
      </c>
    </row>
    <row r="11" spans="2:8" ht="16.5" customHeight="1">
      <c r="B11" t="s">
        <v>393</v>
      </c>
      <c r="D11" s="44">
        <v>0.15</v>
      </c>
      <c r="E11" s="44">
        <v>0.15</v>
      </c>
      <c r="F11" s="44">
        <v>0.15</v>
      </c>
      <c r="G11" s="44">
        <v>0.15</v>
      </c>
      <c r="H11" s="44">
        <v>0.15</v>
      </c>
    </row>
    <row r="12" spans="2:8" ht="16.5" customHeight="1">
      <c r="B12" t="s">
        <v>394</v>
      </c>
      <c r="D12" s="44">
        <v>0.1</v>
      </c>
      <c r="E12" s="44">
        <v>0.1</v>
      </c>
      <c r="F12" s="44">
        <v>0.1</v>
      </c>
      <c r="G12" s="44">
        <v>0.15</v>
      </c>
      <c r="H12" s="44">
        <v>0.15</v>
      </c>
    </row>
    <row r="13" spans="2:8" ht="15" hidden="1" customHeight="1"/>
    <row r="14" spans="2:8" ht="16.5" customHeight="1">
      <c r="B14" t="s">
        <v>395</v>
      </c>
      <c r="C14" s="45">
        <v>3778856</v>
      </c>
    </row>
    <row r="15" spans="2:8" ht="16.5" customHeight="1">
      <c r="B15" t="s">
        <v>396</v>
      </c>
      <c r="C15">
        <v>5</v>
      </c>
    </row>
    <row r="16" spans="2:8" ht="16.5" customHeight="1">
      <c r="B16" t="s">
        <v>397</v>
      </c>
      <c r="C16" s="46">
        <f>C14/C15</f>
        <v>755771.2</v>
      </c>
    </row>
    <row r="18" spans="2:8" ht="16.5" customHeight="1">
      <c r="B18" t="s">
        <v>398</v>
      </c>
      <c r="D18" s="44">
        <v>0.05</v>
      </c>
      <c r="E18" s="44">
        <v>0.05</v>
      </c>
      <c r="F18" s="44">
        <v>0.05</v>
      </c>
      <c r="G18" s="44">
        <v>0.05</v>
      </c>
      <c r="H18" s="44">
        <v>0.05</v>
      </c>
    </row>
    <row r="19" spans="2:8" ht="16.5" customHeight="1">
      <c r="B19" t="s">
        <v>399</v>
      </c>
      <c r="C19">
        <v>5</v>
      </c>
    </row>
    <row r="20" spans="2:8" ht="15" hidden="1" customHeight="1"/>
    <row r="21" spans="2:8" ht="16.5" customHeight="1">
      <c r="B21" t="s">
        <v>400</v>
      </c>
      <c r="D21" s="44">
        <v>0.2</v>
      </c>
      <c r="E21" s="44">
        <v>0.2</v>
      </c>
      <c r="F21" s="44">
        <v>0.2</v>
      </c>
      <c r="G21" s="44">
        <v>0.2</v>
      </c>
      <c r="H21" s="44">
        <v>0.2</v>
      </c>
    </row>
    <row r="22" spans="2:8" ht="15" hidden="1" customHeight="1"/>
    <row r="23" spans="2:8" ht="16.5" customHeight="1">
      <c r="B23" t="s">
        <v>401</v>
      </c>
      <c r="C23">
        <v>30</v>
      </c>
    </row>
    <row r="24" spans="2:8" ht="16.5" customHeight="1">
      <c r="B24" t="s">
        <v>402</v>
      </c>
      <c r="C24">
        <v>30</v>
      </c>
    </row>
    <row r="25" spans="2:8" ht="16.5" customHeight="1">
      <c r="B25" t="s">
        <v>403</v>
      </c>
      <c r="C25">
        <v>60</v>
      </c>
    </row>
    <row r="26" spans="2:8" ht="15" hidden="1" customHeight="1"/>
    <row r="27" spans="2:8" ht="16.5" customHeight="1">
      <c r="B27" t="s">
        <v>404</v>
      </c>
      <c r="C27" s="45">
        <v>422092</v>
      </c>
    </row>
    <row r="28" spans="2:8" ht="16.5" customHeight="1">
      <c r="B28" t="s">
        <v>405</v>
      </c>
      <c r="C28" s="44">
        <v>7.0000000000000007E-2</v>
      </c>
    </row>
    <row r="29" spans="2:8" ht="16.5" customHeight="1">
      <c r="B29" t="s">
        <v>406</v>
      </c>
      <c r="C29" s="45">
        <v>100000</v>
      </c>
    </row>
    <row r="32" spans="2:8" ht="17.25" customHeight="1">
      <c r="B32" s="42" t="s">
        <v>407</v>
      </c>
      <c r="C32" s="43" t="s">
        <v>3</v>
      </c>
      <c r="D32" s="43" t="s">
        <v>4</v>
      </c>
      <c r="E32" s="43" t="s">
        <v>388</v>
      </c>
      <c r="F32" s="43" t="s">
        <v>389</v>
      </c>
      <c r="G32" s="43" t="s">
        <v>390</v>
      </c>
      <c r="H32" s="43" t="s">
        <v>391</v>
      </c>
    </row>
    <row r="34" spans="2:8" ht="16.5" customHeight="1">
      <c r="B34" s="99" t="s">
        <v>408</v>
      </c>
      <c r="C34" s="100">
        <v>2514408</v>
      </c>
      <c r="D34" s="101">
        <f t="shared" ref="D34:H34" si="0">C34*(1+D10)</f>
        <v>2891569.1999999997</v>
      </c>
      <c r="E34" s="101">
        <f t="shared" si="0"/>
        <v>3325304.5799999996</v>
      </c>
      <c r="F34" s="101">
        <f t="shared" si="0"/>
        <v>3657835.0379999997</v>
      </c>
      <c r="G34" s="101">
        <f t="shared" si="0"/>
        <v>4023618.5417999998</v>
      </c>
      <c r="H34" s="101">
        <f t="shared" si="0"/>
        <v>4224799.4688900001</v>
      </c>
    </row>
    <row r="35" spans="2:8" ht="16.5" customHeight="1">
      <c r="B35" s="99" t="s">
        <v>409</v>
      </c>
      <c r="C35" s="100">
        <v>-2249085</v>
      </c>
      <c r="D35" s="101">
        <f t="shared" ref="D35:H35" si="1">-D34*(1-D11)</f>
        <v>-2457833.8199999998</v>
      </c>
      <c r="E35" s="101">
        <f t="shared" si="1"/>
        <v>-2826508.8929999997</v>
      </c>
      <c r="F35" s="101">
        <f t="shared" si="1"/>
        <v>-3109159.7822999996</v>
      </c>
      <c r="G35" s="101">
        <f t="shared" si="1"/>
        <v>-3420075.7605299996</v>
      </c>
      <c r="H35" s="101">
        <f t="shared" si="1"/>
        <v>-3591079.5485565001</v>
      </c>
    </row>
    <row r="36" spans="2:8" ht="15" customHeight="1">
      <c r="B36" s="102" t="s">
        <v>9</v>
      </c>
      <c r="C36" s="103">
        <f t="shared" ref="C36:H78" si="2">C34+C35</f>
        <v>265323</v>
      </c>
      <c r="D36" s="103">
        <f t="shared" si="2"/>
        <v>433735.37999999989</v>
      </c>
      <c r="E36" s="103">
        <f t="shared" si="2"/>
        <v>498795.68699999992</v>
      </c>
      <c r="F36" s="103">
        <f t="shared" si="2"/>
        <v>548675.2557000001</v>
      </c>
      <c r="G36" s="103">
        <f t="shared" si="2"/>
        <v>603542.78127000015</v>
      </c>
      <c r="H36" s="103">
        <f t="shared" si="2"/>
        <v>633719.92033350002</v>
      </c>
    </row>
    <row r="37" spans="2:8" ht="15" customHeight="1">
      <c r="B37" s="99"/>
      <c r="C37" s="104"/>
      <c r="D37" s="104"/>
      <c r="E37" s="104"/>
      <c r="F37" s="104"/>
      <c r="G37" s="104"/>
      <c r="H37" s="104"/>
    </row>
    <row r="38" spans="2:8" ht="16.5" customHeight="1">
      <c r="B38" s="99" t="s">
        <v>410</v>
      </c>
      <c r="C38" s="100">
        <v>-23961</v>
      </c>
      <c r="D38" s="101">
        <f t="shared" ref="D38:H38" si="3">D34*D12</f>
        <v>289156.92</v>
      </c>
      <c r="E38" s="101">
        <f t="shared" si="3"/>
        <v>332530.45799999998</v>
      </c>
      <c r="F38" s="101">
        <f t="shared" si="3"/>
        <v>365783.50380000001</v>
      </c>
      <c r="G38" s="101">
        <f t="shared" si="3"/>
        <v>603542.78126999992</v>
      </c>
      <c r="H38" s="101">
        <f t="shared" si="3"/>
        <v>633719.92033350002</v>
      </c>
    </row>
    <row r="39" spans="2:8" ht="16.5" customHeight="1">
      <c r="B39" s="99" t="s">
        <v>411</v>
      </c>
      <c r="C39" s="100">
        <v>-10212</v>
      </c>
      <c r="D39" s="101">
        <f>-$C$16</f>
        <v>-755771.2</v>
      </c>
      <c r="E39" s="101">
        <f>-$C$16-(D34*D18)/$C$19</f>
        <v>-784686.89199999999</v>
      </c>
      <c r="F39" s="101">
        <f>-$C$16-(D34*D18)/$C$19-(E34*E18)/$C$19</f>
        <v>-817939.93779999996</v>
      </c>
      <c r="G39" s="101">
        <f>-$C$16-(D34*D18)/$C$19-(E34*E18)/$C$19-(F34*F18)/$C$19</f>
        <v>-854518.28817999992</v>
      </c>
      <c r="H39" s="101">
        <f>-$C$16-(D34*D18)/$C$19-(E34*E18)/$C$19-(F34*F18)/$C$19-(G34*G18)/$C$19</f>
        <v>-894754.47359799989</v>
      </c>
    </row>
    <row r="40" spans="2:8" ht="16.5" customHeight="1">
      <c r="B40" s="99" t="s">
        <v>412</v>
      </c>
      <c r="C40" s="101">
        <f t="shared" si="2"/>
        <v>-34173</v>
      </c>
      <c r="D40" s="101">
        <f t="shared" si="2"/>
        <v>-466614.27999999997</v>
      </c>
      <c r="E40" s="101">
        <f t="shared" si="2"/>
        <v>-452156.43400000001</v>
      </c>
      <c r="F40" s="101">
        <f t="shared" si="2"/>
        <v>-452156.43399999995</v>
      </c>
      <c r="G40" s="101">
        <f t="shared" si="2"/>
        <v>-250975.50691</v>
      </c>
      <c r="H40" s="101">
        <f t="shared" si="2"/>
        <v>-261034.55326449987</v>
      </c>
    </row>
    <row r="41" spans="2:8" ht="16.5" customHeight="1">
      <c r="B41" s="99" t="s">
        <v>20</v>
      </c>
      <c r="C41" s="100">
        <v>-9941</v>
      </c>
      <c r="D41" s="101">
        <f>-$C$28*C27</f>
        <v>-29546.440000000002</v>
      </c>
      <c r="E41" s="101">
        <f t="shared" ref="E41:H41" si="4">-$C$28*D68</f>
        <v>0</v>
      </c>
      <c r="F41" s="101">
        <f t="shared" si="4"/>
        <v>0</v>
      </c>
      <c r="G41" s="101">
        <f t="shared" si="4"/>
        <v>0</v>
      </c>
      <c r="H41" s="101">
        <f t="shared" si="4"/>
        <v>0</v>
      </c>
    </row>
    <row r="42" spans="2:8" ht="16.5" customHeight="1">
      <c r="B42" s="99" t="s">
        <v>413</v>
      </c>
      <c r="C42" s="105">
        <v>12773</v>
      </c>
      <c r="D42" s="106">
        <v>12773</v>
      </c>
      <c r="E42" s="107">
        <v>12773</v>
      </c>
      <c r="F42" s="107">
        <v>12773</v>
      </c>
      <c r="G42" s="107">
        <v>12773</v>
      </c>
      <c r="H42" s="107">
        <v>12773</v>
      </c>
    </row>
    <row r="43" spans="2:8" ht="16.5" customHeight="1">
      <c r="B43" s="99" t="s">
        <v>414</v>
      </c>
      <c r="C43" s="101">
        <f t="shared" ref="C43:H43" si="5">C40+C41+C42</f>
        <v>-31341</v>
      </c>
      <c r="D43" s="101">
        <f t="shared" si="5"/>
        <v>-483387.72</v>
      </c>
      <c r="E43" s="101">
        <f t="shared" si="5"/>
        <v>-439383.43400000001</v>
      </c>
      <c r="F43" s="101">
        <f t="shared" si="5"/>
        <v>-439383.43399999995</v>
      </c>
      <c r="G43" s="101">
        <f t="shared" si="5"/>
        <v>-238202.50691</v>
      </c>
      <c r="H43" s="101">
        <f t="shared" si="5"/>
        <v>-248261.55326449987</v>
      </c>
    </row>
    <row r="44" spans="2:8" ht="16.5" customHeight="1">
      <c r="B44" s="99" t="s">
        <v>415</v>
      </c>
      <c r="C44" s="100">
        <v>9929</v>
      </c>
      <c r="D44" s="101">
        <f t="shared" ref="D44:H44" si="6">-MAX(0,D43)*D21</f>
        <v>0</v>
      </c>
      <c r="E44" s="101">
        <f t="shared" si="6"/>
        <v>0</v>
      </c>
      <c r="F44" s="101">
        <f t="shared" si="6"/>
        <v>0</v>
      </c>
      <c r="G44" s="101">
        <f t="shared" si="6"/>
        <v>0</v>
      </c>
      <c r="H44" s="101">
        <f t="shared" si="6"/>
        <v>0</v>
      </c>
    </row>
    <row r="45" spans="2:8" ht="16.5" customHeight="1">
      <c r="B45" s="99" t="s">
        <v>416</v>
      </c>
      <c r="C45" s="101">
        <f t="shared" si="2"/>
        <v>-21412</v>
      </c>
      <c r="D45" s="101">
        <f t="shared" si="2"/>
        <v>-483387.72</v>
      </c>
      <c r="E45" s="101">
        <f t="shared" si="2"/>
        <v>-439383.43400000001</v>
      </c>
      <c r="F45" s="101">
        <f t="shared" si="2"/>
        <v>-439383.43399999995</v>
      </c>
      <c r="G45" s="101">
        <f t="shared" si="2"/>
        <v>-238202.50691</v>
      </c>
      <c r="H45" s="101">
        <f t="shared" si="2"/>
        <v>-248261.55326449987</v>
      </c>
    </row>
    <row r="48" spans="2:8" ht="17.25" customHeight="1">
      <c r="B48" s="42" t="s">
        <v>417</v>
      </c>
      <c r="C48" s="43" t="s">
        <v>3</v>
      </c>
      <c r="D48" s="43" t="s">
        <v>4</v>
      </c>
      <c r="E48" s="43" t="s">
        <v>388</v>
      </c>
      <c r="F48" s="43" t="s">
        <v>389</v>
      </c>
      <c r="G48" s="43" t="s">
        <v>390</v>
      </c>
      <c r="H48" s="43" t="s">
        <v>391</v>
      </c>
    </row>
    <row r="50" spans="2:8" ht="15" customHeight="1">
      <c r="B50" s="110" t="s">
        <v>418</v>
      </c>
      <c r="C50" s="108"/>
      <c r="D50" s="108"/>
      <c r="E50" s="108"/>
      <c r="F50" s="108"/>
      <c r="G50" s="108"/>
      <c r="H50" s="109"/>
    </row>
    <row r="51" spans="2:8" ht="16.5" hidden="1" customHeight="1">
      <c r="B51" s="99" t="s">
        <v>419</v>
      </c>
      <c r="C51" s="100">
        <v>933225</v>
      </c>
      <c r="D51" s="101" cm="1">
        <f t="array" ref="D51">D110</f>
        <v>1126188.5367123289</v>
      </c>
      <c r="E51" s="101" cm="1">
        <f t="array" ref="E51">E110</f>
        <v>1299879.3432191783</v>
      </c>
      <c r="F51" s="101" cm="1">
        <f t="array" ref="F51">F110</f>
        <v>1491444.4045410962</v>
      </c>
      <c r="G51" s="101" cm="1">
        <f t="array" ref="G51">G110</f>
        <v>1902069.5990852057</v>
      </c>
      <c r="H51" s="101" cm="1">
        <f t="array" ref="H51">H110</f>
        <v>2334842.2331744661</v>
      </c>
    </row>
    <row r="52" spans="2:8" ht="16.5" hidden="1" customHeight="1">
      <c r="B52" s="99" t="s">
        <v>420</v>
      </c>
      <c r="C52" s="100">
        <v>341182</v>
      </c>
      <c r="D52" s="101">
        <f t="shared" ref="D52:H52" si="7">D34*($C$24/365)</f>
        <v>237663.22191780817</v>
      </c>
      <c r="E52" s="101">
        <f t="shared" si="7"/>
        <v>273312.7052054794</v>
      </c>
      <c r="F52" s="101">
        <f t="shared" si="7"/>
        <v>300643.97572602733</v>
      </c>
      <c r="G52" s="101">
        <f t="shared" si="7"/>
        <v>330708.37329863012</v>
      </c>
      <c r="H52" s="101">
        <f t="shared" si="7"/>
        <v>347243.79196356161</v>
      </c>
    </row>
    <row r="53" spans="2:8" ht="16.5" hidden="1" customHeight="1">
      <c r="B53" s="99" t="s">
        <v>421</v>
      </c>
      <c r="C53" s="100">
        <v>376298</v>
      </c>
      <c r="D53" s="101">
        <f t="shared" ref="D53:H53" si="8">-D35*($C$23/365)</f>
        <v>202013.73863013697</v>
      </c>
      <c r="E53" s="101">
        <f t="shared" si="8"/>
        <v>232315.79942465748</v>
      </c>
      <c r="F53" s="101">
        <f t="shared" si="8"/>
        <v>255547.37936712324</v>
      </c>
      <c r="G53" s="101">
        <f t="shared" si="8"/>
        <v>281102.11730383558</v>
      </c>
      <c r="H53" s="101">
        <f t="shared" si="8"/>
        <v>295157.22316902736</v>
      </c>
    </row>
    <row r="54" spans="2:8" ht="15" customHeight="1">
      <c r="B54" s="102" t="s">
        <v>422</v>
      </c>
      <c r="C54" s="103">
        <f t="shared" ref="C54:H54" si="9">SUM(C51:C53)</f>
        <v>1650705</v>
      </c>
      <c r="D54" s="103">
        <f t="shared" si="9"/>
        <v>1565865.4972602739</v>
      </c>
      <c r="E54" s="103">
        <f t="shared" si="9"/>
        <v>1805507.847849315</v>
      </c>
      <c r="F54" s="103">
        <f t="shared" si="9"/>
        <v>2047635.7596342466</v>
      </c>
      <c r="G54" s="103">
        <f t="shared" si="9"/>
        <v>2513880.0896876715</v>
      </c>
      <c r="H54" s="103">
        <f t="shared" si="9"/>
        <v>2977243.2483070549</v>
      </c>
    </row>
    <row r="55" spans="2:8" ht="15" customHeight="1">
      <c r="B55" s="99"/>
      <c r="C55" s="104"/>
      <c r="D55" s="104"/>
      <c r="E55" s="104"/>
      <c r="F55" s="104"/>
      <c r="G55" s="104"/>
      <c r="H55" s="104"/>
    </row>
    <row r="56" spans="2:8" ht="16.5" customHeight="1">
      <c r="B56" s="99" t="s">
        <v>423</v>
      </c>
      <c r="C56" s="100">
        <v>3778856</v>
      </c>
      <c r="D56" s="101">
        <f t="shared" ref="D56:H56" si="10">C56+D39+(D34*D18)</f>
        <v>3167663.26</v>
      </c>
      <c r="E56" s="101">
        <f t="shared" si="10"/>
        <v>2549241.5969999996</v>
      </c>
      <c r="F56" s="101">
        <f t="shared" si="10"/>
        <v>1914193.4110999997</v>
      </c>
      <c r="G56" s="101">
        <f t="shared" si="10"/>
        <v>1260856.0500099999</v>
      </c>
      <c r="H56" s="101">
        <f t="shared" si="10"/>
        <v>577341.5498565</v>
      </c>
    </row>
    <row r="57" spans="2:8" ht="16.5" customHeight="1">
      <c r="B57" s="99" t="s">
        <v>424</v>
      </c>
      <c r="C57" s="100">
        <v>1347830</v>
      </c>
      <c r="D57" s="101" cm="1">
        <f t="array" ref="D57">C57</f>
        <v>1347830</v>
      </c>
      <c r="E57" s="101" cm="1">
        <f t="array" ref="E57">D57</f>
        <v>1347830</v>
      </c>
      <c r="F57" s="101" cm="1">
        <f t="array" ref="F57">E57</f>
        <v>1347830</v>
      </c>
      <c r="G57" s="101" cm="1">
        <f t="array" ref="G57">F57</f>
        <v>1347830</v>
      </c>
      <c r="H57" s="101" cm="1">
        <f t="array" ref="H57">G57</f>
        <v>1347830</v>
      </c>
    </row>
    <row r="58" spans="2:8" ht="15" customHeight="1">
      <c r="B58" s="102" t="s">
        <v>425</v>
      </c>
      <c r="C58" s="103">
        <f t="shared" si="2"/>
        <v>5126686</v>
      </c>
      <c r="D58" s="103">
        <f t="shared" si="2"/>
        <v>4515493.26</v>
      </c>
      <c r="E58" s="103">
        <f t="shared" si="2"/>
        <v>3897071.5969999996</v>
      </c>
      <c r="F58" s="103">
        <f t="shared" si="2"/>
        <v>3262023.4110999997</v>
      </c>
      <c r="G58" s="103">
        <f t="shared" si="2"/>
        <v>2608686.0500099999</v>
      </c>
      <c r="H58" s="103">
        <f t="shared" si="2"/>
        <v>1925171.5498565</v>
      </c>
    </row>
    <row r="59" spans="2:8" ht="15" hidden="1" customHeight="1">
      <c r="B59" s="99"/>
      <c r="C59" s="104"/>
      <c r="D59" s="104"/>
      <c r="E59" s="104"/>
      <c r="F59" s="104"/>
      <c r="G59" s="104"/>
      <c r="H59" s="104"/>
    </row>
    <row r="60" spans="2:8" ht="15" customHeight="1">
      <c r="B60" s="102" t="s">
        <v>426</v>
      </c>
      <c r="C60" s="103">
        <f t="shared" ref="C60:H72" si="11">C54+C58</f>
        <v>6777391</v>
      </c>
      <c r="D60" s="103">
        <f t="shared" si="11"/>
        <v>6081358.7572602741</v>
      </c>
      <c r="E60" s="103">
        <f t="shared" si="11"/>
        <v>5702579.4448493142</v>
      </c>
      <c r="F60" s="103">
        <f t="shared" si="11"/>
        <v>5309659.1707342463</v>
      </c>
      <c r="G60" s="103">
        <f t="shared" si="11"/>
        <v>5122566.1396976709</v>
      </c>
      <c r="H60" s="103">
        <f t="shared" si="11"/>
        <v>4902414.7981635546</v>
      </c>
    </row>
    <row r="61" spans="2:8" ht="15" hidden="1" customHeight="1"/>
    <row r="62" spans="2:8" ht="15" hidden="1" customHeight="1"/>
    <row r="63" spans="2:8" ht="15" customHeight="1">
      <c r="B63" s="47" t="s">
        <v>427</v>
      </c>
    </row>
    <row r="64" spans="2:8" ht="16.5" customHeight="1">
      <c r="B64" s="99" t="s">
        <v>428</v>
      </c>
      <c r="C64" s="100">
        <v>194580</v>
      </c>
      <c r="D64" s="101">
        <f t="shared" ref="D64:H64" si="12">-D35*($C$25/365)</f>
        <v>404027.47726027394</v>
      </c>
      <c r="E64" s="101">
        <f t="shared" si="12"/>
        <v>464631.59884931496</v>
      </c>
      <c r="F64" s="101">
        <f t="shared" si="12"/>
        <v>511094.75873424648</v>
      </c>
      <c r="G64" s="101">
        <f t="shared" si="12"/>
        <v>562204.23460767115</v>
      </c>
      <c r="H64" s="101">
        <f t="shared" si="12"/>
        <v>590314.44633805472</v>
      </c>
    </row>
    <row r="65" spans="2:8" ht="16.5" customHeight="1">
      <c r="B65" s="99" t="s">
        <v>429</v>
      </c>
      <c r="C65" s="100">
        <v>755223</v>
      </c>
      <c r="D65" s="101" cm="1">
        <f t="array" ref="D65">C65</f>
        <v>755223</v>
      </c>
      <c r="E65" s="101" cm="1">
        <f t="array" ref="E65">D65</f>
        <v>755223</v>
      </c>
      <c r="F65" s="101" cm="1">
        <f t="array" ref="F65">E65</f>
        <v>755223</v>
      </c>
      <c r="G65" s="101" cm="1">
        <f t="array" ref="G65">F65</f>
        <v>755223</v>
      </c>
      <c r="H65" s="101" cm="1">
        <f t="array" ref="H65">G65</f>
        <v>755223</v>
      </c>
    </row>
    <row r="66" spans="2:8" ht="15" customHeight="1">
      <c r="B66" s="102" t="s">
        <v>430</v>
      </c>
      <c r="C66" s="103">
        <f t="shared" si="2"/>
        <v>949803</v>
      </c>
      <c r="D66" s="103">
        <f t="shared" si="2"/>
        <v>1159250.4772602739</v>
      </c>
      <c r="E66" s="103">
        <f t="shared" si="2"/>
        <v>1219854.598849315</v>
      </c>
      <c r="F66" s="103">
        <f t="shared" si="2"/>
        <v>1266317.7587342465</v>
      </c>
      <c r="G66" s="103">
        <f t="shared" si="2"/>
        <v>1317427.2346076712</v>
      </c>
      <c r="H66" s="103">
        <f t="shared" si="2"/>
        <v>1345537.4463380547</v>
      </c>
    </row>
    <row r="67" spans="2:8" ht="15" hidden="1" customHeight="1">
      <c r="B67" s="99"/>
      <c r="C67" s="104"/>
      <c r="D67" s="104"/>
      <c r="E67" s="104"/>
      <c r="F67" s="104"/>
      <c r="G67" s="104"/>
      <c r="H67" s="104"/>
    </row>
    <row r="68" spans="2:8" ht="16.5" customHeight="1">
      <c r="B68" s="99" t="s">
        <v>431</v>
      </c>
      <c r="C68" s="100">
        <v>422092</v>
      </c>
      <c r="D68" s="101">
        <f t="shared" ref="D68:H68" si="13">MAX(0,C68+D103)</f>
        <v>0</v>
      </c>
      <c r="E68" s="101">
        <f t="shared" si="13"/>
        <v>0</v>
      </c>
      <c r="F68" s="101">
        <f t="shared" si="13"/>
        <v>0</v>
      </c>
      <c r="G68" s="101">
        <f t="shared" si="13"/>
        <v>0</v>
      </c>
      <c r="H68" s="101">
        <f t="shared" si="13"/>
        <v>0</v>
      </c>
    </row>
    <row r="69" spans="2:8" ht="16.5" customHeight="1">
      <c r="B69" s="99" t="s">
        <v>432</v>
      </c>
      <c r="C69" s="100">
        <v>150702</v>
      </c>
      <c r="D69" s="101" cm="1">
        <f t="array" ref="D69">C69</f>
        <v>150702</v>
      </c>
      <c r="E69" s="101" cm="1">
        <f t="array" ref="E69">D69</f>
        <v>150702</v>
      </c>
      <c r="F69" s="101" cm="1">
        <f t="array" ref="F69">E69</f>
        <v>150702</v>
      </c>
      <c r="G69" s="101" cm="1">
        <f t="array" ref="G69">F69</f>
        <v>150702</v>
      </c>
      <c r="H69" s="101" cm="1">
        <f t="array" ref="H69">G69</f>
        <v>150702</v>
      </c>
    </row>
    <row r="70" spans="2:8" ht="15" customHeight="1">
      <c r="B70" s="102" t="s">
        <v>433</v>
      </c>
      <c r="C70" s="103">
        <f t="shared" si="2"/>
        <v>572794</v>
      </c>
      <c r="D70" s="103">
        <f t="shared" si="2"/>
        <v>150702</v>
      </c>
      <c r="E70" s="103">
        <f t="shared" si="2"/>
        <v>150702</v>
      </c>
      <c r="F70" s="103">
        <f t="shared" si="2"/>
        <v>150702</v>
      </c>
      <c r="G70" s="103">
        <f t="shared" si="2"/>
        <v>150702</v>
      </c>
      <c r="H70" s="103">
        <f t="shared" si="2"/>
        <v>150702</v>
      </c>
    </row>
    <row r="71" spans="2:8" ht="15" hidden="1" customHeight="1">
      <c r="B71" s="99"/>
      <c r="C71" s="104"/>
      <c r="D71" s="104"/>
      <c r="E71" s="104"/>
      <c r="F71" s="104"/>
      <c r="G71" s="104"/>
      <c r="H71" s="104"/>
    </row>
    <row r="72" spans="2:8" ht="15" customHeight="1">
      <c r="B72" s="102" t="s">
        <v>434</v>
      </c>
      <c r="C72" s="103">
        <f t="shared" si="11"/>
        <v>1522597</v>
      </c>
      <c r="D72" s="103">
        <f t="shared" si="11"/>
        <v>1309952.4772602739</v>
      </c>
      <c r="E72" s="103">
        <f t="shared" si="11"/>
        <v>1370556.598849315</v>
      </c>
      <c r="F72" s="103">
        <f t="shared" si="11"/>
        <v>1417019.7587342465</v>
      </c>
      <c r="G72" s="103">
        <f t="shared" si="11"/>
        <v>1468129.2346076712</v>
      </c>
      <c r="H72" s="103">
        <f t="shared" si="11"/>
        <v>1496239.4463380547</v>
      </c>
    </row>
    <row r="73" spans="2:8" ht="15" hidden="1" customHeight="1"/>
    <row r="74" spans="2:8" ht="15" hidden="1" customHeight="1"/>
    <row r="75" spans="2:8" ht="15" customHeight="1">
      <c r="B75" s="47" t="s">
        <v>435</v>
      </c>
    </row>
    <row r="76" spans="2:8" ht="16.5" customHeight="1">
      <c r="B76" s="99" t="s">
        <v>436</v>
      </c>
      <c r="C76" s="100">
        <v>5276206</v>
      </c>
      <c r="D76" s="101" cm="1">
        <f t="array" ref="D76">C76</f>
        <v>5276206</v>
      </c>
      <c r="E76" s="101" cm="1">
        <f t="array" ref="E76">D76</f>
        <v>5276206</v>
      </c>
      <c r="F76" s="101" cm="1">
        <f t="array" ref="F76">E76</f>
        <v>5276206</v>
      </c>
      <c r="G76" s="101" cm="1">
        <f t="array" ref="G76">F76</f>
        <v>5276206</v>
      </c>
      <c r="H76" s="101" cm="1">
        <f t="array" ref="H76">G76</f>
        <v>5276206</v>
      </c>
    </row>
    <row r="77" spans="2:8" ht="16.5" customHeight="1">
      <c r="B77" s="99" t="s">
        <v>437</v>
      </c>
      <c r="C77" s="100">
        <v>-21412</v>
      </c>
      <c r="D77" s="101">
        <f t="shared" ref="D77:H77" si="14">C77+D45</f>
        <v>-504799.72</v>
      </c>
      <c r="E77" s="101">
        <f t="shared" si="14"/>
        <v>-944183.15399999998</v>
      </c>
      <c r="F77" s="101">
        <f t="shared" si="14"/>
        <v>-1383566.588</v>
      </c>
      <c r="G77" s="101">
        <f t="shared" si="14"/>
        <v>-1621769.09491</v>
      </c>
      <c r="H77" s="101">
        <f t="shared" si="14"/>
        <v>-1870030.6481744999</v>
      </c>
    </row>
    <row r="78" spans="2:8" ht="15" customHeight="1">
      <c r="B78" s="102" t="s">
        <v>438</v>
      </c>
      <c r="C78" s="103">
        <f t="shared" si="2"/>
        <v>5254794</v>
      </c>
      <c r="D78" s="103">
        <f t="shared" si="2"/>
        <v>4771406.28</v>
      </c>
      <c r="E78" s="103">
        <f t="shared" si="2"/>
        <v>4332022.8459999999</v>
      </c>
      <c r="F78" s="103">
        <f t="shared" si="2"/>
        <v>3892639.412</v>
      </c>
      <c r="G78" s="103">
        <f t="shared" si="2"/>
        <v>3654436.90509</v>
      </c>
      <c r="H78" s="103">
        <f t="shared" si="2"/>
        <v>3406175.3518254999</v>
      </c>
    </row>
    <row r="79" spans="2:8" ht="15" hidden="1" customHeight="1">
      <c r="B79" s="99"/>
      <c r="C79" s="104"/>
      <c r="D79" s="104"/>
      <c r="E79" s="104"/>
      <c r="F79" s="104"/>
      <c r="G79" s="104"/>
      <c r="H79" s="104"/>
    </row>
    <row r="80" spans="2:8" ht="15" customHeight="1">
      <c r="B80" s="102" t="s">
        <v>439</v>
      </c>
      <c r="C80" s="103">
        <f t="shared" ref="C80:H80" si="15">C72+C78</f>
        <v>6777391</v>
      </c>
      <c r="D80" s="103">
        <f t="shared" si="15"/>
        <v>6081358.7572602741</v>
      </c>
      <c r="E80" s="103">
        <f t="shared" si="15"/>
        <v>5702579.4448493151</v>
      </c>
      <c r="F80" s="103">
        <f t="shared" si="15"/>
        <v>5309659.1707342463</v>
      </c>
      <c r="G80" s="103">
        <f t="shared" si="15"/>
        <v>5122566.1396976709</v>
      </c>
      <c r="H80" s="103">
        <f t="shared" si="15"/>
        <v>4902414.7981635546</v>
      </c>
    </row>
    <row r="82" spans="2:8" ht="15" customHeight="1">
      <c r="B82" s="48" t="s">
        <v>440</v>
      </c>
      <c r="D82" s="49">
        <f t="shared" ref="D82:H82" si="16">D60-D72-D78</f>
        <v>0</v>
      </c>
      <c r="E82" s="49">
        <f t="shared" si="16"/>
        <v>0</v>
      </c>
      <c r="F82" s="49">
        <f t="shared" si="16"/>
        <v>0</v>
      </c>
      <c r="G82" s="49">
        <f t="shared" si="16"/>
        <v>0</v>
      </c>
      <c r="H82" s="49">
        <f t="shared" si="16"/>
        <v>0</v>
      </c>
    </row>
    <row r="83" spans="2:8" ht="17.25" customHeight="1">
      <c r="B83" s="42" t="s">
        <v>441</v>
      </c>
    </row>
    <row r="85" spans="2:8" ht="15" customHeight="1">
      <c r="B85" s="47" t="s">
        <v>442</v>
      </c>
      <c r="C85" s="43" t="s">
        <v>3</v>
      </c>
      <c r="D85" s="43" t="s">
        <v>4</v>
      </c>
      <c r="E85" s="43" t="s">
        <v>388</v>
      </c>
      <c r="F85" s="43" t="s">
        <v>389</v>
      </c>
      <c r="G85" s="43" t="s">
        <v>390</v>
      </c>
      <c r="H85" s="43" t="s">
        <v>391</v>
      </c>
    </row>
    <row r="86" spans="2:8" ht="16.5" customHeight="1">
      <c r="B86" s="99" t="s">
        <v>443</v>
      </c>
      <c r="C86" s="99"/>
      <c r="D86" s="101" cm="1">
        <f t="array" ref="D86">D45</f>
        <v>-483387.72</v>
      </c>
      <c r="E86" s="101" cm="1">
        <f t="array" ref="E86">E45</f>
        <v>-439383.43400000001</v>
      </c>
      <c r="F86" s="101" cm="1">
        <f t="array" ref="F86">F45</f>
        <v>-439383.43399999995</v>
      </c>
      <c r="G86" s="101" cm="1">
        <f t="array" ref="G86">G45</f>
        <v>-238202.50691</v>
      </c>
      <c r="H86" s="101" cm="1">
        <f t="array" ref="H86">H45</f>
        <v>-248261.55326449987</v>
      </c>
    </row>
    <row r="87" spans="2:8" ht="16.5" customHeight="1">
      <c r="B87" s="99" t="s">
        <v>444</v>
      </c>
      <c r="C87" s="99"/>
      <c r="D87" s="101">
        <f t="shared" ref="D87:H87" si="17">-D39</f>
        <v>755771.2</v>
      </c>
      <c r="E87" s="101">
        <f t="shared" si="17"/>
        <v>784686.89199999999</v>
      </c>
      <c r="F87" s="101">
        <f t="shared" si="17"/>
        <v>817939.93779999996</v>
      </c>
      <c r="G87" s="101">
        <f t="shared" si="17"/>
        <v>854518.28817999992</v>
      </c>
      <c r="H87" s="101">
        <f t="shared" si="17"/>
        <v>894754.47359799989</v>
      </c>
    </row>
    <row r="88" spans="2:8" ht="16.5" customHeight="1">
      <c r="B88" s="99" t="s">
        <v>445</v>
      </c>
      <c r="C88" s="99"/>
      <c r="D88" s="104"/>
      <c r="E88" s="104"/>
      <c r="F88" s="104"/>
      <c r="G88" s="104"/>
      <c r="H88" s="104"/>
    </row>
    <row r="89" spans="2:8" ht="16.5" customHeight="1">
      <c r="B89" s="99" t="s">
        <v>446</v>
      </c>
      <c r="C89" s="99"/>
      <c r="D89" s="101">
        <f t="shared" ref="D89:H90" si="18">-(D52-C52)</f>
        <v>103518.77808219183</v>
      </c>
      <c r="E89" s="101">
        <f t="shared" si="18"/>
        <v>-35649.483287671232</v>
      </c>
      <c r="F89" s="101">
        <f t="shared" si="18"/>
        <v>-27331.270520547929</v>
      </c>
      <c r="G89" s="101">
        <f t="shared" si="18"/>
        <v>-30064.397572602786</v>
      </c>
      <c r="H89" s="101">
        <f t="shared" si="18"/>
        <v>-16535.418664931494</v>
      </c>
    </row>
    <row r="90" spans="2:8" ht="16.5" customHeight="1">
      <c r="B90" s="99" t="s">
        <v>447</v>
      </c>
      <c r="C90" s="99"/>
      <c r="D90" s="101">
        <f t="shared" si="18"/>
        <v>174284.26136986303</v>
      </c>
      <c r="E90" s="101">
        <f t="shared" si="18"/>
        <v>-30302.060794520512</v>
      </c>
      <c r="F90" s="101">
        <f t="shared" si="18"/>
        <v>-23231.57994246576</v>
      </c>
      <c r="G90" s="101">
        <f t="shared" si="18"/>
        <v>-25554.737936712336</v>
      </c>
      <c r="H90" s="101">
        <f t="shared" si="18"/>
        <v>-14055.105865191785</v>
      </c>
    </row>
    <row r="91" spans="2:8" ht="16.5" customHeight="1">
      <c r="B91" s="99" t="s">
        <v>448</v>
      </c>
      <c r="C91" s="99"/>
      <c r="D91" s="101">
        <f t="shared" ref="D91:H91" si="19">D64-C64</f>
        <v>209447.47726027394</v>
      </c>
      <c r="E91" s="101">
        <f t="shared" si="19"/>
        <v>60604.121589041024</v>
      </c>
      <c r="F91" s="101">
        <f t="shared" si="19"/>
        <v>46463.15988493152</v>
      </c>
      <c r="G91" s="101">
        <f t="shared" si="19"/>
        <v>51109.475873424672</v>
      </c>
      <c r="H91" s="101">
        <f t="shared" si="19"/>
        <v>28110.211730383569</v>
      </c>
    </row>
    <row r="92" spans="2:8" ht="15" hidden="1" customHeight="1">
      <c r="B92" s="99"/>
      <c r="C92" s="99"/>
      <c r="D92" s="104"/>
      <c r="E92" s="104"/>
      <c r="F92" s="104"/>
      <c r="G92" s="104"/>
      <c r="H92" s="104"/>
    </row>
    <row r="93" spans="2:8" ht="15" customHeight="1">
      <c r="B93" s="102" t="s">
        <v>449</v>
      </c>
      <c r="C93" s="102"/>
      <c r="D93" s="103">
        <f t="shared" ref="D93:H93" si="20">SUM(D86:D87,D89:D91)</f>
        <v>759633.99671232887</v>
      </c>
      <c r="E93" s="103">
        <f t="shared" si="20"/>
        <v>339956.03550684924</v>
      </c>
      <c r="F93" s="103">
        <f t="shared" si="20"/>
        <v>374456.81322191784</v>
      </c>
      <c r="G93" s="103">
        <f t="shared" si="20"/>
        <v>611806.12163410941</v>
      </c>
      <c r="H93" s="103">
        <f t="shared" si="20"/>
        <v>644012.60753376025</v>
      </c>
    </row>
    <row r="94" spans="2:8" ht="15" hidden="1" customHeight="1">
      <c r="B94" s="99"/>
      <c r="C94" s="99"/>
      <c r="D94" s="104"/>
      <c r="E94" s="104"/>
      <c r="F94" s="104"/>
      <c r="G94" s="104"/>
      <c r="H94" s="104"/>
    </row>
    <row r="95" spans="2:8" ht="15" hidden="1" customHeight="1">
      <c r="B95" s="99"/>
      <c r="C95" s="99"/>
      <c r="D95" s="104"/>
      <c r="E95" s="104"/>
      <c r="F95" s="104"/>
      <c r="G95" s="104"/>
      <c r="H95" s="104"/>
    </row>
    <row r="96" spans="2:8" ht="15" customHeight="1">
      <c r="B96" s="110" t="s">
        <v>450</v>
      </c>
      <c r="C96" s="99"/>
      <c r="D96" s="104"/>
      <c r="E96" s="104"/>
      <c r="F96" s="104"/>
      <c r="G96" s="104"/>
      <c r="H96" s="104"/>
    </row>
    <row r="97" spans="2:8" ht="16.5" customHeight="1">
      <c r="B97" s="99" t="s">
        <v>451</v>
      </c>
      <c r="C97" s="99"/>
      <c r="D97" s="101">
        <f t="shared" ref="D97:H97" si="21">-D34*D18</f>
        <v>-144578.46</v>
      </c>
      <c r="E97" s="101">
        <f t="shared" si="21"/>
        <v>-166265.22899999999</v>
      </c>
      <c r="F97" s="101">
        <f t="shared" si="21"/>
        <v>-182891.7519</v>
      </c>
      <c r="G97" s="101">
        <f t="shared" si="21"/>
        <v>-201180.92709000001</v>
      </c>
      <c r="H97" s="101">
        <f t="shared" si="21"/>
        <v>-211239.97344450001</v>
      </c>
    </row>
    <row r="98" spans="2:8" ht="15" hidden="1" customHeight="1">
      <c r="B98" s="99"/>
      <c r="C98" s="99"/>
      <c r="D98" s="104"/>
      <c r="E98" s="104"/>
      <c r="F98" s="104"/>
      <c r="G98" s="104"/>
      <c r="H98" s="104"/>
    </row>
    <row r="99" spans="2:8" ht="15" customHeight="1">
      <c r="B99" s="102" t="s">
        <v>452</v>
      </c>
      <c r="C99" s="102"/>
      <c r="D99" s="103" cm="1">
        <f t="array" ref="D99">D97</f>
        <v>-144578.46</v>
      </c>
      <c r="E99" s="103" cm="1">
        <f t="array" ref="E99">E97</f>
        <v>-166265.22899999999</v>
      </c>
      <c r="F99" s="103" cm="1">
        <f t="array" ref="F99">F97</f>
        <v>-182891.7519</v>
      </c>
      <c r="G99" s="103" cm="1">
        <f t="array" ref="G99">G97</f>
        <v>-201180.92709000001</v>
      </c>
      <c r="H99" s="103" cm="1">
        <f t="array" ref="H99">H97</f>
        <v>-211239.97344450001</v>
      </c>
    </row>
    <row r="100" spans="2:8" ht="15" hidden="1" customHeight="1">
      <c r="B100" s="99"/>
      <c r="C100" s="99"/>
      <c r="D100" s="104"/>
      <c r="E100" s="104"/>
      <c r="F100" s="104"/>
      <c r="G100" s="104"/>
      <c r="H100" s="104"/>
    </row>
    <row r="101" spans="2:8" ht="15" hidden="1" customHeight="1">
      <c r="B101" s="99"/>
      <c r="C101" s="99"/>
      <c r="D101" s="104"/>
      <c r="E101" s="104"/>
      <c r="F101" s="104"/>
      <c r="G101" s="104"/>
      <c r="H101" s="104"/>
    </row>
    <row r="102" spans="2:8" ht="15" customHeight="1">
      <c r="B102" s="110" t="s">
        <v>453</v>
      </c>
      <c r="C102" s="99"/>
      <c r="D102" s="104"/>
      <c r="E102" s="104"/>
      <c r="F102" s="104"/>
      <c r="G102" s="104"/>
      <c r="H102" s="104"/>
    </row>
    <row r="103" spans="2:8" ht="16.5" customHeight="1">
      <c r="B103" s="99" t="s">
        <v>454</v>
      </c>
      <c r="C103" s="99"/>
      <c r="D103" s="101">
        <f t="shared" ref="D103:H103" si="22">-MIN(C68,MAX(0,C51+D93+D99-$C$29))</f>
        <v>-422092</v>
      </c>
      <c r="E103" s="101">
        <f t="shared" si="22"/>
        <v>0</v>
      </c>
      <c r="F103" s="101">
        <f t="shared" si="22"/>
        <v>0</v>
      </c>
      <c r="G103" s="101">
        <f t="shared" si="22"/>
        <v>0</v>
      </c>
      <c r="H103" s="101">
        <f t="shared" si="22"/>
        <v>0</v>
      </c>
    </row>
    <row r="104" spans="2:8" ht="15" hidden="1" customHeight="1">
      <c r="B104" s="99"/>
      <c r="C104" s="99"/>
      <c r="D104" s="104"/>
      <c r="E104" s="104"/>
      <c r="F104" s="104"/>
      <c r="G104" s="104"/>
      <c r="H104" s="104"/>
    </row>
    <row r="105" spans="2:8" ht="15" customHeight="1">
      <c r="B105" s="102" t="s">
        <v>455</v>
      </c>
      <c r="C105" s="102"/>
      <c r="D105" s="103" cm="1">
        <f t="array" ref="D105">D103</f>
        <v>-422092</v>
      </c>
      <c r="E105" s="103" cm="1">
        <f t="array" ref="E105">E103</f>
        <v>0</v>
      </c>
      <c r="F105" s="103" cm="1">
        <f t="array" ref="F105">F103</f>
        <v>0</v>
      </c>
      <c r="G105" s="103" cm="1">
        <f t="array" ref="G105">G103</f>
        <v>0</v>
      </c>
      <c r="H105" s="103" cm="1">
        <f t="array" ref="H105">H103</f>
        <v>0</v>
      </c>
    </row>
    <row r="106" spans="2:8" ht="15" hidden="1" customHeight="1">
      <c r="B106" s="99"/>
      <c r="C106" s="99"/>
      <c r="D106" s="104"/>
      <c r="E106" s="104"/>
      <c r="F106" s="104"/>
      <c r="G106" s="104"/>
      <c r="H106" s="104"/>
    </row>
    <row r="107" spans="2:8" ht="15" hidden="1" customHeight="1">
      <c r="B107" s="99"/>
      <c r="C107" s="99"/>
      <c r="D107" s="104"/>
      <c r="E107" s="104"/>
      <c r="F107" s="104"/>
      <c r="G107" s="104"/>
      <c r="H107" s="104"/>
    </row>
    <row r="108" spans="2:8" ht="16.5" customHeight="1">
      <c r="B108" s="99" t="s">
        <v>456</v>
      </c>
      <c r="C108" s="99"/>
      <c r="D108" s="101">
        <f t="shared" ref="D108:H108" si="23">D93+D99+D105</f>
        <v>192963.5367123289</v>
      </c>
      <c r="E108" s="101">
        <f t="shared" si="23"/>
        <v>173690.80650684924</v>
      </c>
      <c r="F108" s="101">
        <f t="shared" si="23"/>
        <v>191565.06132191783</v>
      </c>
      <c r="G108" s="101">
        <f t="shared" si="23"/>
        <v>410625.1945441094</v>
      </c>
      <c r="H108" s="101">
        <f t="shared" si="23"/>
        <v>432772.63408926025</v>
      </c>
    </row>
    <row r="109" spans="2:8" ht="16.5" customHeight="1">
      <c r="B109" s="99" t="s">
        <v>457</v>
      </c>
      <c r="C109" s="99"/>
      <c r="D109" s="101" cm="1">
        <f t="array" ref="D109">C51</f>
        <v>933225</v>
      </c>
      <c r="E109" s="101" cm="1">
        <f t="array" ref="E109">D110</f>
        <v>1126188.5367123289</v>
      </c>
      <c r="F109" s="101" cm="1">
        <f t="array" ref="F109">E110</f>
        <v>1299879.3432191783</v>
      </c>
      <c r="G109" s="101" cm="1">
        <f t="array" ref="G109">F110</f>
        <v>1491444.4045410962</v>
      </c>
      <c r="H109" s="101" cm="1">
        <f t="array" ref="H109">G110</f>
        <v>1902069.5990852057</v>
      </c>
    </row>
    <row r="110" spans="2:8" ht="15" customHeight="1">
      <c r="B110" s="102" t="s">
        <v>458</v>
      </c>
      <c r="C110" s="102"/>
      <c r="D110" s="103">
        <f t="shared" ref="D110:H110" si="24">D109+D108</f>
        <v>1126188.5367123289</v>
      </c>
      <c r="E110" s="103">
        <f t="shared" si="24"/>
        <v>1299879.3432191783</v>
      </c>
      <c r="F110" s="103">
        <f t="shared" si="24"/>
        <v>1491444.4045410962</v>
      </c>
      <c r="G110" s="103">
        <f t="shared" si="24"/>
        <v>1902069.5990852057</v>
      </c>
      <c r="H110" s="103">
        <f t="shared" si="24"/>
        <v>2334842.2331744661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5498-5158-82E8-09E8-946F02008488}">
  <dimension ref="B2:I66"/>
  <sheetViews>
    <sheetView tabSelected="1" workbookViewId="0">
      <selection activeCell="F13" sqref="F13"/>
    </sheetView>
  </sheetViews>
  <sheetFormatPr baseColWidth="10" defaultColWidth="7.83203125" defaultRowHeight="15" customHeight="1"/>
  <cols>
    <col min="2" max="2" width="35" customWidth="1"/>
    <col min="3" max="7" width="13.83203125" customWidth="1"/>
  </cols>
  <sheetData>
    <row r="2" spans="2:7" ht="19.5" customHeight="1">
      <c r="B2" s="50" t="s">
        <v>459</v>
      </c>
    </row>
    <row r="3" spans="2:7" ht="13.5" customHeight="1">
      <c r="B3" s="51" t="s">
        <v>380</v>
      </c>
    </row>
    <row r="5" spans="2:7" ht="15.75" customHeight="1">
      <c r="B5" s="52" t="s">
        <v>460</v>
      </c>
    </row>
    <row r="7" spans="2:7" ht="15.75" customHeight="1">
      <c r="B7" t="s">
        <v>461</v>
      </c>
      <c r="C7" s="53">
        <v>0.15</v>
      </c>
    </row>
    <row r="8" spans="2:7" ht="15.75" customHeight="1">
      <c r="B8" t="s">
        <v>462</v>
      </c>
      <c r="C8" s="53">
        <v>2.5000000000000001E-2</v>
      </c>
      <c r="D8" s="54" t="s">
        <v>463</v>
      </c>
    </row>
    <row r="9" spans="2:7" ht="15.75" customHeight="1">
      <c r="B9" t="s">
        <v>400</v>
      </c>
      <c r="C9" s="55" cm="1">
        <f t="array" ref="C9">Model!D21</f>
        <v>0.2</v>
      </c>
    </row>
    <row r="12" spans="2:7" ht="15.75" customHeight="1">
      <c r="B12" s="52" t="s">
        <v>464</v>
      </c>
    </row>
    <row r="14" spans="2:7" ht="15" customHeight="1">
      <c r="C14" s="56" t="s">
        <v>383</v>
      </c>
      <c r="D14" s="56" t="s">
        <v>384</v>
      </c>
      <c r="E14" s="56" t="s">
        <v>385</v>
      </c>
      <c r="F14" s="56" t="s">
        <v>386</v>
      </c>
      <c r="G14" s="56" t="s">
        <v>387</v>
      </c>
    </row>
    <row r="15" spans="2:7" ht="15" customHeight="1">
      <c r="C15" s="56" t="s">
        <v>4</v>
      </c>
      <c r="D15" s="56" t="s">
        <v>388</v>
      </c>
      <c r="E15" s="56" t="s">
        <v>389</v>
      </c>
      <c r="F15" s="56" t="s">
        <v>390</v>
      </c>
      <c r="G15" s="56" t="s">
        <v>391</v>
      </c>
    </row>
    <row r="17" spans="2:7" ht="15.75" customHeight="1">
      <c r="B17" t="s">
        <v>412</v>
      </c>
      <c r="C17" s="57" cm="1">
        <f t="array" ref="C17">Model!D40</f>
        <v>-466614.27999999997</v>
      </c>
      <c r="D17" s="57" cm="1">
        <f t="array" ref="D17">Model!E40</f>
        <v>-452156.43400000001</v>
      </c>
      <c r="E17" s="57" cm="1">
        <f t="array" ref="E17">Model!F40</f>
        <v>-452156.43399999995</v>
      </c>
      <c r="F17" s="57" cm="1">
        <f t="array" ref="F17">Model!G40</f>
        <v>-250975.50691</v>
      </c>
      <c r="G17" s="57" cm="1">
        <f t="array" ref="G17">Model!H40</f>
        <v>-261034.55326449987</v>
      </c>
    </row>
    <row r="18" spans="2:7" ht="15.75" customHeight="1">
      <c r="B18" t="s">
        <v>465</v>
      </c>
      <c r="C18" s="58">
        <f t="shared" ref="C18:G18" si="0">-MAX(0,C17)*$C$9</f>
        <v>0</v>
      </c>
      <c r="D18" s="58">
        <f t="shared" si="0"/>
        <v>0</v>
      </c>
      <c r="E18" s="58">
        <f t="shared" si="0"/>
        <v>0</v>
      </c>
      <c r="F18" s="58">
        <f t="shared" si="0"/>
        <v>0</v>
      </c>
      <c r="G18" s="58">
        <f t="shared" si="0"/>
        <v>0</v>
      </c>
    </row>
    <row r="19" spans="2:7" ht="15" customHeight="1">
      <c r="B19" s="59" t="s">
        <v>466</v>
      </c>
      <c r="C19" s="60">
        <f t="shared" ref="C19:G48" si="1">C17+C18</f>
        <v>-466614.27999999997</v>
      </c>
      <c r="D19" s="60">
        <f t="shared" si="1"/>
        <v>-452156.43400000001</v>
      </c>
      <c r="E19" s="60">
        <f t="shared" si="1"/>
        <v>-452156.43399999995</v>
      </c>
      <c r="F19" s="60">
        <f t="shared" si="1"/>
        <v>-250975.50691</v>
      </c>
      <c r="G19" s="60">
        <f t="shared" si="1"/>
        <v>-261034.55326449987</v>
      </c>
    </row>
    <row r="21" spans="2:7" ht="15.75" customHeight="1">
      <c r="B21" t="s">
        <v>444</v>
      </c>
      <c r="C21" s="57">
        <f>-Model!D39</f>
        <v>755771.2</v>
      </c>
      <c r="D21" s="57">
        <f>-Model!E39</f>
        <v>784686.89199999999</v>
      </c>
      <c r="E21" s="57">
        <f>-Model!F39</f>
        <v>817939.93779999996</v>
      </c>
      <c r="F21" s="57">
        <f>-Model!G39</f>
        <v>854518.28817999992</v>
      </c>
      <c r="G21" s="57">
        <f>-Model!H39</f>
        <v>894754.47359799989</v>
      </c>
    </row>
    <row r="22" spans="2:7" ht="15.75" customHeight="1">
      <c r="B22" t="s">
        <v>451</v>
      </c>
      <c r="C22" s="57" cm="1">
        <f t="array" ref="C22">Model!D97</f>
        <v>-144578.46</v>
      </c>
      <c r="D22" s="57" cm="1">
        <f t="array" ref="D22">Model!E97</f>
        <v>-166265.22899999999</v>
      </c>
      <c r="E22" s="57" cm="1">
        <f t="array" ref="E22">Model!F97</f>
        <v>-182891.7519</v>
      </c>
      <c r="F22" s="57" cm="1">
        <f t="array" ref="F22">Model!G97</f>
        <v>-201180.92709000001</v>
      </c>
      <c r="G22" s="57" cm="1">
        <f t="array" ref="G22">Model!H97</f>
        <v>-211239.97344450001</v>
      </c>
    </row>
    <row r="23" spans="2:7" ht="15.75" customHeight="1">
      <c r="B23" t="s">
        <v>467</v>
      </c>
      <c r="C23" s="57">
        <f>Model!D89+Model!D90+Model!D91</f>
        <v>487250.51671232883</v>
      </c>
      <c r="D23" s="57">
        <f>Model!E89+Model!E90+Model!E91</f>
        <v>-5347.4224931507197</v>
      </c>
      <c r="E23" s="57">
        <f>Model!F89+Model!F90+Model!F91</f>
        <v>-4099.6905780821689</v>
      </c>
      <c r="F23" s="57">
        <f>Model!G89+Model!G90+Model!G91</f>
        <v>-4509.6596358904499</v>
      </c>
      <c r="G23" s="57">
        <f>Model!H89+Model!H90+Model!H91</f>
        <v>-2480.3127997397096</v>
      </c>
    </row>
    <row r="25" spans="2:7" ht="15" customHeight="1">
      <c r="B25" s="59" t="s">
        <v>468</v>
      </c>
      <c r="C25" s="60">
        <f t="shared" ref="C25:G25" si="2">C19+C21+C22+C23</f>
        <v>631828.97671232885</v>
      </c>
      <c r="D25" s="60">
        <f t="shared" si="2"/>
        <v>160917.80650684927</v>
      </c>
      <c r="E25" s="60">
        <f t="shared" si="2"/>
        <v>178792.06132191783</v>
      </c>
      <c r="F25" s="60">
        <f t="shared" si="2"/>
        <v>397852.19454410946</v>
      </c>
      <c r="G25" s="60">
        <f t="shared" si="2"/>
        <v>419999.6340892603</v>
      </c>
    </row>
    <row r="28" spans="2:7" ht="15.75" customHeight="1">
      <c r="B28" s="52" t="s">
        <v>469</v>
      </c>
    </row>
    <row r="30" spans="2:7" ht="15.75" customHeight="1">
      <c r="B30" t="s">
        <v>470</v>
      </c>
      <c r="C30" s="61">
        <v>1</v>
      </c>
      <c r="D30" s="61">
        <v>2</v>
      </c>
      <c r="E30" s="61">
        <v>3</v>
      </c>
      <c r="F30" s="61">
        <v>4</v>
      </c>
      <c r="G30" s="61">
        <v>5</v>
      </c>
    </row>
    <row r="31" spans="2:7" ht="15.75" customHeight="1">
      <c r="B31" t="s">
        <v>471</v>
      </c>
      <c r="C31" s="62">
        <f t="shared" ref="C31:G31" si="3">1/(1+$C$7)^C30</f>
        <v>0.86956521739130443</v>
      </c>
      <c r="D31" s="62">
        <f t="shared" si="3"/>
        <v>0.7561436672967865</v>
      </c>
      <c r="E31" s="62">
        <f t="shared" si="3"/>
        <v>0.65751623243198831</v>
      </c>
      <c r="F31" s="62">
        <f t="shared" si="3"/>
        <v>0.57175324559303342</v>
      </c>
      <c r="G31" s="62">
        <f t="shared" si="3"/>
        <v>0.49717673529828987</v>
      </c>
    </row>
    <row r="32" spans="2:7" ht="15.75" customHeight="1">
      <c r="B32" t="s">
        <v>472</v>
      </c>
      <c r="C32" s="58">
        <f t="shared" ref="C32:G32" si="4">C25*C31</f>
        <v>549416.50148898165</v>
      </c>
      <c r="D32" s="58">
        <f t="shared" si="4"/>
        <v>121676.98034544371</v>
      </c>
      <c r="E32" s="58">
        <f t="shared" si="4"/>
        <v>117558.68254913643</v>
      </c>
      <c r="F32" s="58">
        <f t="shared" si="4"/>
        <v>227473.28349690553</v>
      </c>
      <c r="G32" s="58">
        <f t="shared" si="4"/>
        <v>208814.04690297478</v>
      </c>
    </row>
    <row r="34" spans="2:9" ht="15" customHeight="1">
      <c r="B34" s="59" t="s">
        <v>473</v>
      </c>
      <c r="C34" s="60">
        <f>SUM(C32:G32)</f>
        <v>1224939.4947834422</v>
      </c>
      <c r="D34" s="63"/>
      <c r="E34" s="63"/>
      <c r="F34" s="63"/>
      <c r="G34" s="63"/>
    </row>
    <row r="37" spans="2:9" ht="15.75" customHeight="1">
      <c r="B37" s="52" t="s">
        <v>474</v>
      </c>
    </row>
    <row r="39" spans="2:9" ht="15.75" customHeight="1">
      <c r="B39" t="s">
        <v>475</v>
      </c>
      <c r="C39" s="58" cm="1">
        <f t="array" ref="C39">G25</f>
        <v>419999.6340892603</v>
      </c>
      <c r="D39" s="64"/>
    </row>
    <row r="40" spans="2:9" ht="15.75" customHeight="1">
      <c r="B40" t="s">
        <v>476</v>
      </c>
      <c r="C40" s="58">
        <f>C39*(1+$C$8)/($C$7-$C$8)</f>
        <v>3443996.999531934</v>
      </c>
    </row>
    <row r="41" spans="2:9" ht="15.75" customHeight="1">
      <c r="B41" s="61" t="s">
        <v>477</v>
      </c>
      <c r="C41" s="65">
        <f>C40*G31</f>
        <v>1712275.1846043929</v>
      </c>
    </row>
    <row r="44" spans="2:9" ht="15.75" customHeight="1">
      <c r="B44" s="52" t="s">
        <v>478</v>
      </c>
    </row>
    <row r="46" spans="2:9" ht="15.75" customHeight="1">
      <c r="B46" s="66" t="s">
        <v>479</v>
      </c>
      <c r="C46" s="58" cm="1">
        <f t="array" ref="C46">C34</f>
        <v>1224939.4947834422</v>
      </c>
    </row>
    <row r="47" spans="2:9" ht="15.75" customHeight="1">
      <c r="B47" t="s">
        <v>477</v>
      </c>
      <c r="C47" s="58" cm="1">
        <f t="array" ref="C47">C41</f>
        <v>1712275.1846043929</v>
      </c>
      <c r="D47" s="67"/>
      <c r="E47" s="67"/>
      <c r="F47" s="67"/>
      <c r="G47" s="67"/>
      <c r="H47" s="67"/>
      <c r="I47" s="67"/>
    </row>
    <row r="48" spans="2:9" ht="15.75" customHeight="1">
      <c r="B48" s="59" t="s">
        <v>480</v>
      </c>
      <c r="C48" s="68">
        <f t="shared" si="1"/>
        <v>2937214.6793878349</v>
      </c>
      <c r="D48" s="69"/>
      <c r="E48" s="69"/>
      <c r="F48" s="69"/>
      <c r="G48" s="69"/>
      <c r="H48" s="67"/>
      <c r="I48" s="67"/>
    </row>
    <row r="49" spans="2:9" ht="15" customHeight="1">
      <c r="D49" s="67"/>
      <c r="E49" s="67"/>
      <c r="F49" s="67"/>
      <c r="G49" s="67"/>
      <c r="H49" s="67"/>
      <c r="I49" s="67"/>
    </row>
    <row r="50" spans="2:9" ht="15" customHeight="1">
      <c r="D50" s="67"/>
      <c r="E50" s="67"/>
      <c r="F50" s="67"/>
      <c r="G50" s="67"/>
      <c r="H50" s="67"/>
      <c r="I50" s="67"/>
    </row>
    <row r="51" spans="2:9" ht="15.75" customHeight="1">
      <c r="B51" s="52" t="s">
        <v>481</v>
      </c>
      <c r="D51" s="67"/>
      <c r="E51" s="67"/>
      <c r="F51" s="67"/>
      <c r="G51" s="67"/>
      <c r="H51" s="67"/>
      <c r="I51" s="67"/>
    </row>
    <row r="52" spans="2:9" ht="15" customHeight="1">
      <c r="D52" s="67"/>
      <c r="E52" s="67"/>
      <c r="F52" s="67"/>
      <c r="G52" s="67"/>
      <c r="H52" s="67"/>
      <c r="I52" s="67"/>
    </row>
    <row r="53" spans="2:9" ht="15.75" customHeight="1">
      <c r="B53" t="s">
        <v>482</v>
      </c>
      <c r="C53" s="58" cm="1">
        <f t="array" ref="C53">C48</f>
        <v>2937214.6793878349</v>
      </c>
      <c r="D53" s="67"/>
      <c r="E53" s="67"/>
      <c r="F53" s="67"/>
      <c r="G53" s="67"/>
      <c r="H53" s="67"/>
      <c r="I53" s="67"/>
    </row>
    <row r="54" spans="2:9" ht="15.75" customHeight="1">
      <c r="B54" t="s">
        <v>483</v>
      </c>
      <c r="C54" s="57">
        <f>-Model!C68</f>
        <v>-422092</v>
      </c>
      <c r="D54" s="67"/>
      <c r="E54" s="67"/>
      <c r="F54" s="67"/>
      <c r="G54" s="67"/>
      <c r="H54" s="67"/>
      <c r="I54" s="67"/>
    </row>
    <row r="55" spans="2:9" ht="15.75" customHeight="1">
      <c r="B55" s="66" t="s">
        <v>484</v>
      </c>
      <c r="C55" s="57" cm="1">
        <f t="array" ref="C55">Model!C51</f>
        <v>933225</v>
      </c>
      <c r="D55" s="67"/>
      <c r="E55" s="67"/>
      <c r="F55" s="67"/>
      <c r="G55" s="67"/>
      <c r="H55" s="67"/>
      <c r="I55" s="67"/>
    </row>
    <row r="56" spans="2:9" ht="15" customHeight="1">
      <c r="D56" s="67"/>
      <c r="E56" s="67"/>
      <c r="F56" s="67"/>
      <c r="G56" s="67"/>
      <c r="H56" s="67"/>
      <c r="I56" s="67"/>
    </row>
    <row r="57" spans="2:9" ht="15.75" customHeight="1">
      <c r="B57" s="59" t="s">
        <v>485</v>
      </c>
      <c r="C57" s="70">
        <f>C53+C54+C55</f>
        <v>3448347.6793878349</v>
      </c>
      <c r="D57" s="69"/>
      <c r="E57" s="69"/>
      <c r="F57" s="69"/>
      <c r="G57" s="69"/>
      <c r="H57" s="67"/>
      <c r="I57" s="67"/>
    </row>
    <row r="58" spans="2:9" ht="15" customHeight="1">
      <c r="D58" s="67"/>
      <c r="E58" s="67"/>
      <c r="F58" s="67"/>
      <c r="G58" s="67"/>
      <c r="H58" s="67"/>
      <c r="I58" s="67"/>
    </row>
    <row r="59" spans="2:9" ht="15" customHeight="1">
      <c r="D59" s="67"/>
      <c r="E59" s="67"/>
      <c r="F59" s="67"/>
      <c r="G59" s="67"/>
      <c r="H59" s="67"/>
      <c r="I59" s="67"/>
    </row>
    <row r="60" spans="2:9" ht="15.75" customHeight="1">
      <c r="B60" s="52" t="s">
        <v>486</v>
      </c>
      <c r="D60" s="67"/>
      <c r="E60" s="67"/>
      <c r="F60" s="67"/>
      <c r="G60" s="67"/>
      <c r="H60" s="67"/>
      <c r="I60" s="67"/>
    </row>
    <row r="62" spans="2:9" ht="15.75" customHeight="1">
      <c r="B62" t="s">
        <v>487</v>
      </c>
      <c r="C62" s="71">
        <f>C47/C48</f>
        <v>0.5829588135387026</v>
      </c>
    </row>
    <row r="63" spans="2:9" ht="15.75" customHeight="1">
      <c r="B63" t="s">
        <v>488</v>
      </c>
      <c r="C63" s="71">
        <f>C46/C48</f>
        <v>0.41704118646129751</v>
      </c>
    </row>
    <row r="65" spans="2:3" ht="15.75" customHeight="1">
      <c r="B65" t="s">
        <v>489</v>
      </c>
      <c r="C65" s="72">
        <f>C48/Model!H34</f>
        <v>0.69523173845681774</v>
      </c>
    </row>
    <row r="66" spans="2:3" ht="15.75" customHeight="1">
      <c r="B66" t="s">
        <v>490</v>
      </c>
      <c r="C66" s="72">
        <f>C48/Model!H38</f>
        <v>4.6348782563787845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A4B5F-8E78-706E-6178-28B1CFF4A828}">
  <dimension ref="B2:D43"/>
  <sheetViews>
    <sheetView topLeftCell="A37" workbookViewId="0">
      <selection activeCell="G16" sqref="G16"/>
    </sheetView>
  </sheetViews>
  <sheetFormatPr baseColWidth="10" defaultColWidth="7.83203125" defaultRowHeight="15" customHeight="1"/>
  <cols>
    <col min="2" max="2" width="35" customWidth="1"/>
    <col min="3" max="3" width="15" customWidth="1"/>
    <col min="4" max="4" width="12.5" customWidth="1"/>
  </cols>
  <sheetData>
    <row r="2" spans="2:4" ht="19.5" customHeight="1">
      <c r="B2" s="50" t="s">
        <v>491</v>
      </c>
    </row>
    <row r="3" spans="2:4" ht="14.25" customHeight="1">
      <c r="B3" s="73" t="s">
        <v>492</v>
      </c>
    </row>
    <row r="5" spans="2:4" ht="15.75" customHeight="1">
      <c r="B5" s="52" t="s">
        <v>493</v>
      </c>
    </row>
    <row r="7" spans="2:4" ht="15" customHeight="1">
      <c r="B7" s="74" t="s">
        <v>494</v>
      </c>
      <c r="C7" s="75" t="s">
        <v>495</v>
      </c>
      <c r="D7" s="76" t="s">
        <v>496</v>
      </c>
    </row>
    <row r="8" spans="2:4" ht="14.25" customHeight="1">
      <c r="B8" s="77" t="s">
        <v>497</v>
      </c>
      <c r="C8" s="78" t="s">
        <v>498</v>
      </c>
      <c r="D8" s="79">
        <v>12.12</v>
      </c>
    </row>
    <row r="9" spans="2:4" ht="14.25" customHeight="1">
      <c r="B9" s="77" t="s">
        <v>499</v>
      </c>
      <c r="C9" s="78" t="s">
        <v>500</v>
      </c>
      <c r="D9" s="79">
        <v>5.82</v>
      </c>
    </row>
    <row r="10" spans="2:4" ht="14.25" customHeight="1">
      <c r="B10" s="77" t="s">
        <v>501</v>
      </c>
      <c r="C10" s="78" t="s">
        <v>502</v>
      </c>
      <c r="D10" s="79">
        <v>9.9499999999999993</v>
      </c>
    </row>
    <row r="11" spans="2:4" ht="14.25" customHeight="1">
      <c r="B11" s="80" t="s">
        <v>503</v>
      </c>
      <c r="C11" s="81" t="s">
        <v>504</v>
      </c>
      <c r="D11" s="82" t="s">
        <v>505</v>
      </c>
    </row>
    <row r="13" spans="2:4" ht="15" customHeight="1">
      <c r="B13" s="83" t="s">
        <v>506</v>
      </c>
      <c r="C13" s="84"/>
      <c r="D13" s="85">
        <f>MEDIAN(D8:D10)</f>
        <v>9.9499999999999993</v>
      </c>
    </row>
    <row r="14" spans="2:4" ht="15" customHeight="1">
      <c r="B14" s="86" t="s">
        <v>507</v>
      </c>
      <c r="C14" s="87"/>
      <c r="D14" s="88">
        <f>AVERAGE(D8:D10)</f>
        <v>9.2966666666666651</v>
      </c>
    </row>
    <row r="16" spans="2:4" ht="12" customHeight="1">
      <c r="B16" s="89" t="s">
        <v>508</v>
      </c>
    </row>
    <row r="19" spans="2:3" ht="15.75" customHeight="1">
      <c r="B19" s="52" t="s">
        <v>491</v>
      </c>
    </row>
    <row r="21" spans="2:3" ht="15.75" customHeight="1">
      <c r="B21" t="s">
        <v>509</v>
      </c>
      <c r="C21" s="57" cm="1">
        <f t="array" ref="C21">Model!H38</f>
        <v>633719.92033350002</v>
      </c>
    </row>
    <row r="22" spans="2:3" ht="15.75" customHeight="1">
      <c r="B22" t="s">
        <v>510</v>
      </c>
      <c r="C22" s="90" cm="1">
        <f t="array" ref="C22">D13</f>
        <v>9.9499999999999993</v>
      </c>
    </row>
    <row r="24" spans="2:3" ht="15.75" customHeight="1">
      <c r="B24" t="s">
        <v>511</v>
      </c>
      <c r="C24" s="68">
        <f>C21*C22</f>
        <v>6305513.2073183246</v>
      </c>
    </row>
    <row r="27" spans="2:3" ht="15.75" customHeight="1">
      <c r="B27" s="52" t="s">
        <v>481</v>
      </c>
    </row>
    <row r="29" spans="2:3" ht="15.75" customHeight="1">
      <c r="B29" t="s">
        <v>482</v>
      </c>
      <c r="C29" s="58" cm="1">
        <f t="array" ref="C29">C24</f>
        <v>6305513.2073183246</v>
      </c>
    </row>
    <row r="30" spans="2:3" ht="15.75" customHeight="1">
      <c r="B30" t="s">
        <v>483</v>
      </c>
      <c r="C30" s="57">
        <f>-Model!C68</f>
        <v>-422092</v>
      </c>
    </row>
    <row r="31" spans="2:3" ht="15.75" customHeight="1">
      <c r="B31" t="s">
        <v>512</v>
      </c>
      <c r="C31" s="57" cm="1">
        <f t="array" ref="C31">Model!C51</f>
        <v>933225</v>
      </c>
    </row>
    <row r="33" spans="2:3" ht="15.75" customHeight="1">
      <c r="B33" t="s">
        <v>485</v>
      </c>
      <c r="C33" s="70">
        <f>C29+C30+C31</f>
        <v>6816646.2073183246</v>
      </c>
    </row>
    <row r="36" spans="2:3" ht="15.75" customHeight="1">
      <c r="B36" s="52" t="s">
        <v>513</v>
      </c>
    </row>
    <row r="38" spans="2:3" ht="15.75" customHeight="1">
      <c r="B38" s="91" t="s">
        <v>514</v>
      </c>
      <c r="C38" s="92" cm="1">
        <f t="array" ref="C38">'DCF Valuation'!C48</f>
        <v>2937214.6793878349</v>
      </c>
    </row>
    <row r="39" spans="2:3" ht="15.75" customHeight="1">
      <c r="B39" s="93" t="s">
        <v>515</v>
      </c>
      <c r="C39" s="94" cm="1">
        <f t="array" ref="C39">C24</f>
        <v>6305513.2073183246</v>
      </c>
    </row>
    <row r="40" spans="2:3" ht="15.75" customHeight="1">
      <c r="B40" s="93" t="s">
        <v>516</v>
      </c>
      <c r="C40" s="94">
        <f>C39-C38</f>
        <v>3368298.5279304897</v>
      </c>
    </row>
    <row r="41" spans="2:3" ht="15.75" customHeight="1">
      <c r="B41" s="95" t="s">
        <v>517</v>
      </c>
      <c r="C41" s="96">
        <f>(C39-C38)/C38</f>
        <v>1.1467662039032502</v>
      </c>
    </row>
    <row r="42" spans="2:3" ht="15" customHeight="1">
      <c r="B42" s="97" t="s">
        <v>518</v>
      </c>
    </row>
    <row r="43" spans="2:3" ht="15" customHeight="1">
      <c r="B43" s="98"/>
    </row>
  </sheetData>
  <mergeCells count="1">
    <mergeCell ref="B42:B43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7EC8-3D68-56F8-0B28-C30525703202}">
  <dimension ref="A1"/>
  <sheetViews>
    <sheetView workbookViewId="0"/>
  </sheetViews>
  <sheetFormatPr baseColWidth="10" defaultColWidth="7.83203125" defaultRowHeight="15" customHeight="1"/>
  <sheetData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 2024</vt:lpstr>
      <vt:lpstr>Model</vt:lpstr>
      <vt:lpstr>DCF Valuation</vt:lpstr>
      <vt:lpstr>Market-Comps</vt:lpstr>
      <vt:lpstr>Comparables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Riddhi Agarwal</cp:lastModifiedBy>
  <dcterms:created xsi:type="dcterms:W3CDTF">2025-11-26T06:19:22Z</dcterms:created>
  <dcterms:modified xsi:type="dcterms:W3CDTF">2025-11-26T09:59:42Z</dcterms:modified>
</cp:coreProperties>
</file>